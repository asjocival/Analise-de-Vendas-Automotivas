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civ\OneDrive\Área de Trabalho\PROJETOS - ANALISTA DE DADOS\MICROSOFT POWER BI\PROJETO 9 - Concessionária de automóveis\Dados\"/>
    </mc:Choice>
  </mc:AlternateContent>
  <xr:revisionPtr revIDLastSave="0" documentId="13_ncr:1_{EEF39E84-AF77-48F3-83B1-1A539F3F2176}" xr6:coauthVersionLast="47" xr6:coauthVersionMax="47" xr10:uidLastSave="{00000000-0000-0000-0000-000000000000}"/>
  <bookViews>
    <workbookView xWindow="-120" yWindow="-120" windowWidth="29040" windowHeight="15720" xr2:uid="{D756BFC3-DAC0-407D-96AB-81275A506D10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2" i="1"/>
  <c r="T3" i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6" i="1"/>
  <c r="U46" i="1" s="1"/>
  <c r="T47" i="1"/>
  <c r="U47" i="1" s="1"/>
  <c r="T48" i="1"/>
  <c r="U48" i="1" s="1"/>
  <c r="T49" i="1"/>
  <c r="U49" i="1" s="1"/>
  <c r="T50" i="1"/>
  <c r="U50" i="1" s="1"/>
  <c r="T51" i="1"/>
  <c r="U51" i="1" s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U61" i="1" s="1"/>
  <c r="T62" i="1"/>
  <c r="U62" i="1" s="1"/>
  <c r="T63" i="1"/>
  <c r="U63" i="1" s="1"/>
  <c r="T64" i="1"/>
  <c r="U64" i="1" s="1"/>
  <c r="T65" i="1"/>
  <c r="U65" i="1" s="1"/>
  <c r="T66" i="1"/>
  <c r="U66" i="1" s="1"/>
  <c r="T67" i="1"/>
  <c r="U67" i="1" s="1"/>
  <c r="T68" i="1"/>
  <c r="U68" i="1" s="1"/>
  <c r="T69" i="1"/>
  <c r="U69" i="1" s="1"/>
  <c r="T70" i="1"/>
  <c r="U70" i="1" s="1"/>
  <c r="T71" i="1"/>
  <c r="U71" i="1" s="1"/>
  <c r="T72" i="1"/>
  <c r="U72" i="1" s="1"/>
  <c r="T73" i="1"/>
  <c r="U73" i="1" s="1"/>
  <c r="T74" i="1"/>
  <c r="U74" i="1" s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U81" i="1" s="1"/>
  <c r="T82" i="1"/>
  <c r="U82" i="1" s="1"/>
  <c r="T83" i="1"/>
  <c r="U83" i="1" s="1"/>
  <c r="T84" i="1"/>
  <c r="U84" i="1" s="1"/>
  <c r="T85" i="1"/>
  <c r="U85" i="1" s="1"/>
  <c r="T86" i="1"/>
  <c r="U86" i="1" s="1"/>
  <c r="T87" i="1"/>
  <c r="U87" i="1" s="1"/>
  <c r="T88" i="1"/>
  <c r="U88" i="1" s="1"/>
  <c r="T89" i="1"/>
  <c r="U89" i="1" s="1"/>
  <c r="T90" i="1"/>
  <c r="U90" i="1" s="1"/>
  <c r="T91" i="1"/>
  <c r="U91" i="1" s="1"/>
  <c r="T92" i="1"/>
  <c r="U92" i="1" s="1"/>
  <c r="T93" i="1"/>
  <c r="U93" i="1" s="1"/>
  <c r="T94" i="1"/>
  <c r="U94" i="1" s="1"/>
  <c r="T95" i="1"/>
  <c r="U95" i="1" s="1"/>
  <c r="T96" i="1"/>
  <c r="U96" i="1" s="1"/>
  <c r="T97" i="1"/>
  <c r="U97" i="1" s="1"/>
  <c r="T98" i="1"/>
  <c r="U98" i="1" s="1"/>
  <c r="T99" i="1"/>
  <c r="U99" i="1" s="1"/>
  <c r="T100" i="1"/>
  <c r="U100" i="1" s="1"/>
  <c r="T101" i="1"/>
  <c r="U101" i="1" s="1"/>
  <c r="T102" i="1"/>
  <c r="U102" i="1" s="1"/>
  <c r="T103" i="1"/>
  <c r="U103" i="1" s="1"/>
  <c r="T104" i="1"/>
  <c r="U104" i="1" s="1"/>
  <c r="T105" i="1"/>
  <c r="U105" i="1" s="1"/>
  <c r="T106" i="1"/>
  <c r="U106" i="1" s="1"/>
  <c r="T107" i="1"/>
  <c r="U107" i="1" s="1"/>
  <c r="T108" i="1"/>
  <c r="U108" i="1" s="1"/>
  <c r="T109" i="1"/>
  <c r="U109" i="1" s="1"/>
  <c r="T110" i="1"/>
  <c r="U110" i="1" s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U117" i="1" s="1"/>
  <c r="T118" i="1"/>
  <c r="U118" i="1" s="1"/>
  <c r="T119" i="1"/>
  <c r="U119" i="1" s="1"/>
  <c r="T120" i="1"/>
  <c r="U120" i="1" s="1"/>
  <c r="T121" i="1"/>
  <c r="U121" i="1" s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0" i="1"/>
  <c r="U130" i="1" s="1"/>
  <c r="T131" i="1"/>
  <c r="U131" i="1" s="1"/>
  <c r="T132" i="1"/>
  <c r="U132" i="1" s="1"/>
  <c r="T133" i="1"/>
  <c r="U133" i="1" s="1"/>
  <c r="T134" i="1"/>
  <c r="U134" i="1" s="1"/>
  <c r="T135" i="1"/>
  <c r="U135" i="1" s="1"/>
  <c r="T136" i="1"/>
  <c r="U136" i="1" s="1"/>
  <c r="T137" i="1"/>
  <c r="U137" i="1" s="1"/>
  <c r="T138" i="1"/>
  <c r="U138" i="1" s="1"/>
  <c r="T139" i="1"/>
  <c r="U139" i="1" s="1"/>
  <c r="T140" i="1"/>
  <c r="U140" i="1" s="1"/>
  <c r="T141" i="1"/>
  <c r="U141" i="1" s="1"/>
  <c r="T142" i="1"/>
  <c r="U142" i="1" s="1"/>
  <c r="T143" i="1"/>
  <c r="U143" i="1" s="1"/>
  <c r="T144" i="1"/>
  <c r="U144" i="1" s="1"/>
  <c r="T145" i="1"/>
  <c r="U145" i="1" s="1"/>
  <c r="T146" i="1"/>
  <c r="U146" i="1" s="1"/>
  <c r="T147" i="1"/>
  <c r="U147" i="1" s="1"/>
  <c r="T148" i="1"/>
  <c r="U148" i="1" s="1"/>
  <c r="T149" i="1"/>
  <c r="U149" i="1" s="1"/>
  <c r="T150" i="1"/>
  <c r="U150" i="1" s="1"/>
  <c r="T151" i="1"/>
  <c r="U151" i="1" s="1"/>
  <c r="T152" i="1"/>
  <c r="U152" i="1" s="1"/>
  <c r="T153" i="1"/>
  <c r="U153" i="1" s="1"/>
  <c r="T154" i="1"/>
  <c r="U154" i="1" s="1"/>
  <c r="T155" i="1"/>
  <c r="U155" i="1" s="1"/>
  <c r="T156" i="1"/>
  <c r="U156" i="1" s="1"/>
  <c r="T157" i="1"/>
  <c r="U157" i="1" s="1"/>
  <c r="T158" i="1"/>
  <c r="U158" i="1" s="1"/>
  <c r="T159" i="1"/>
  <c r="U159" i="1" s="1"/>
  <c r="T160" i="1"/>
  <c r="U160" i="1" s="1"/>
  <c r="T161" i="1"/>
  <c r="U161" i="1" s="1"/>
  <c r="T162" i="1"/>
  <c r="U162" i="1" s="1"/>
  <c r="T163" i="1"/>
  <c r="U163" i="1" s="1"/>
  <c r="T164" i="1"/>
  <c r="U164" i="1" s="1"/>
  <c r="T165" i="1"/>
  <c r="U165" i="1" s="1"/>
  <c r="T166" i="1"/>
  <c r="U166" i="1" s="1"/>
  <c r="T167" i="1"/>
  <c r="U167" i="1" s="1"/>
  <c r="T168" i="1"/>
  <c r="U168" i="1" s="1"/>
  <c r="T169" i="1"/>
  <c r="U169" i="1" s="1"/>
  <c r="T170" i="1"/>
  <c r="U170" i="1" s="1"/>
  <c r="T171" i="1"/>
  <c r="U171" i="1" s="1"/>
  <c r="T172" i="1"/>
  <c r="U172" i="1" s="1"/>
  <c r="T173" i="1"/>
  <c r="U173" i="1" s="1"/>
  <c r="T174" i="1"/>
  <c r="U174" i="1" s="1"/>
  <c r="T175" i="1"/>
  <c r="U175" i="1" s="1"/>
  <c r="T176" i="1"/>
  <c r="U176" i="1" s="1"/>
  <c r="T177" i="1"/>
  <c r="U177" i="1" s="1"/>
  <c r="T178" i="1"/>
  <c r="U178" i="1" s="1"/>
  <c r="T179" i="1"/>
  <c r="U179" i="1" s="1"/>
  <c r="T180" i="1"/>
  <c r="U180" i="1" s="1"/>
  <c r="T181" i="1"/>
  <c r="U181" i="1" s="1"/>
  <c r="T182" i="1"/>
  <c r="U182" i="1" s="1"/>
  <c r="T183" i="1"/>
  <c r="U183" i="1" s="1"/>
  <c r="T184" i="1"/>
  <c r="U184" i="1" s="1"/>
  <c r="T185" i="1"/>
  <c r="U185" i="1" s="1"/>
  <c r="T186" i="1"/>
  <c r="U186" i="1" s="1"/>
  <c r="T187" i="1"/>
  <c r="U187" i="1" s="1"/>
  <c r="T188" i="1"/>
  <c r="U188" i="1" s="1"/>
  <c r="T189" i="1"/>
  <c r="U189" i="1" s="1"/>
  <c r="T190" i="1"/>
  <c r="U190" i="1" s="1"/>
  <c r="T191" i="1"/>
  <c r="U191" i="1" s="1"/>
  <c r="T192" i="1"/>
  <c r="U192" i="1" s="1"/>
  <c r="T193" i="1"/>
  <c r="U193" i="1" s="1"/>
  <c r="T194" i="1"/>
  <c r="U194" i="1" s="1"/>
  <c r="T195" i="1"/>
  <c r="U195" i="1" s="1"/>
  <c r="T196" i="1"/>
  <c r="U196" i="1" s="1"/>
  <c r="T197" i="1"/>
  <c r="U197" i="1" s="1"/>
  <c r="T198" i="1"/>
  <c r="U198" i="1" s="1"/>
  <c r="T199" i="1"/>
  <c r="U199" i="1" s="1"/>
  <c r="T200" i="1"/>
  <c r="U200" i="1" s="1"/>
  <c r="T201" i="1"/>
  <c r="U201" i="1" s="1"/>
  <c r="T202" i="1"/>
  <c r="U202" i="1" s="1"/>
  <c r="T203" i="1"/>
  <c r="U203" i="1" s="1"/>
  <c r="T204" i="1"/>
  <c r="U204" i="1" s="1"/>
  <c r="T205" i="1"/>
  <c r="U205" i="1" s="1"/>
  <c r="T206" i="1"/>
  <c r="U206" i="1" s="1"/>
  <c r="T207" i="1"/>
  <c r="U207" i="1" s="1"/>
  <c r="T208" i="1"/>
  <c r="U208" i="1" s="1"/>
  <c r="T209" i="1"/>
  <c r="U209" i="1" s="1"/>
  <c r="T210" i="1"/>
  <c r="U210" i="1" s="1"/>
  <c r="T211" i="1"/>
  <c r="U211" i="1" s="1"/>
  <c r="T212" i="1"/>
  <c r="U212" i="1" s="1"/>
  <c r="T213" i="1"/>
  <c r="U213" i="1" s="1"/>
  <c r="T214" i="1"/>
  <c r="U214" i="1" s="1"/>
  <c r="T215" i="1"/>
  <c r="U215" i="1" s="1"/>
  <c r="T216" i="1"/>
  <c r="U216" i="1" s="1"/>
  <c r="T217" i="1"/>
  <c r="U217" i="1" s="1"/>
  <c r="T218" i="1"/>
  <c r="U218" i="1" s="1"/>
  <c r="T219" i="1"/>
  <c r="U219" i="1" s="1"/>
  <c r="T220" i="1"/>
  <c r="U220" i="1" s="1"/>
  <c r="T221" i="1"/>
  <c r="U221" i="1" s="1"/>
  <c r="T222" i="1"/>
  <c r="U222" i="1" s="1"/>
  <c r="T223" i="1"/>
  <c r="U223" i="1" s="1"/>
  <c r="T224" i="1"/>
  <c r="U224" i="1" s="1"/>
  <c r="T225" i="1"/>
  <c r="U225" i="1" s="1"/>
  <c r="T226" i="1"/>
  <c r="U226" i="1" s="1"/>
  <c r="T227" i="1"/>
  <c r="U227" i="1" s="1"/>
  <c r="T228" i="1"/>
  <c r="U228" i="1" s="1"/>
  <c r="T229" i="1"/>
  <c r="U229" i="1" s="1"/>
  <c r="T230" i="1"/>
  <c r="U230" i="1" s="1"/>
  <c r="T231" i="1"/>
  <c r="U231" i="1" s="1"/>
  <c r="T232" i="1"/>
  <c r="U232" i="1" s="1"/>
  <c r="T233" i="1"/>
  <c r="U233" i="1" s="1"/>
  <c r="T234" i="1"/>
  <c r="U234" i="1" s="1"/>
  <c r="T235" i="1"/>
  <c r="U235" i="1" s="1"/>
  <c r="T236" i="1"/>
  <c r="U236" i="1" s="1"/>
  <c r="T237" i="1"/>
  <c r="U237" i="1" s="1"/>
  <c r="T238" i="1"/>
  <c r="U238" i="1" s="1"/>
  <c r="T239" i="1"/>
  <c r="U239" i="1" s="1"/>
  <c r="T240" i="1"/>
  <c r="U240" i="1" s="1"/>
  <c r="T241" i="1"/>
  <c r="U241" i="1" s="1"/>
  <c r="T242" i="1"/>
  <c r="U242" i="1" s="1"/>
  <c r="T243" i="1"/>
  <c r="U243" i="1" s="1"/>
  <c r="T244" i="1"/>
  <c r="U244" i="1" s="1"/>
  <c r="T245" i="1"/>
  <c r="U245" i="1" s="1"/>
  <c r="T246" i="1"/>
  <c r="U246" i="1" s="1"/>
  <c r="T247" i="1"/>
  <c r="U247" i="1" s="1"/>
  <c r="T248" i="1"/>
  <c r="U248" i="1" s="1"/>
  <c r="T249" i="1"/>
  <c r="U249" i="1" s="1"/>
  <c r="T250" i="1"/>
  <c r="U250" i="1" s="1"/>
  <c r="T251" i="1"/>
  <c r="U251" i="1" s="1"/>
  <c r="T252" i="1"/>
  <c r="U252" i="1" s="1"/>
  <c r="T253" i="1"/>
  <c r="U253" i="1" s="1"/>
  <c r="T254" i="1"/>
  <c r="U254" i="1" s="1"/>
  <c r="T255" i="1"/>
  <c r="U255" i="1" s="1"/>
  <c r="T256" i="1"/>
  <c r="U256" i="1" s="1"/>
  <c r="T257" i="1"/>
  <c r="U257" i="1" s="1"/>
  <c r="T258" i="1"/>
  <c r="U258" i="1" s="1"/>
  <c r="T259" i="1"/>
  <c r="U259" i="1" s="1"/>
  <c r="T260" i="1"/>
  <c r="U260" i="1" s="1"/>
  <c r="T261" i="1"/>
  <c r="U261" i="1" s="1"/>
  <c r="T262" i="1"/>
  <c r="U262" i="1" s="1"/>
  <c r="T263" i="1"/>
  <c r="U263" i="1" s="1"/>
  <c r="T264" i="1"/>
  <c r="U264" i="1" s="1"/>
  <c r="T265" i="1"/>
  <c r="U265" i="1" s="1"/>
  <c r="T266" i="1"/>
  <c r="U266" i="1" s="1"/>
  <c r="T267" i="1"/>
  <c r="U267" i="1" s="1"/>
  <c r="T268" i="1"/>
  <c r="U268" i="1" s="1"/>
  <c r="T269" i="1"/>
  <c r="U269" i="1" s="1"/>
  <c r="T270" i="1"/>
  <c r="U270" i="1" s="1"/>
  <c r="T271" i="1"/>
  <c r="U271" i="1" s="1"/>
  <c r="T272" i="1"/>
  <c r="U272" i="1" s="1"/>
  <c r="T273" i="1"/>
  <c r="U273" i="1" s="1"/>
  <c r="T274" i="1"/>
  <c r="U274" i="1" s="1"/>
  <c r="T275" i="1"/>
  <c r="U275" i="1" s="1"/>
  <c r="T276" i="1"/>
  <c r="U276" i="1" s="1"/>
  <c r="T277" i="1"/>
  <c r="U277" i="1" s="1"/>
  <c r="T278" i="1"/>
  <c r="U278" i="1" s="1"/>
  <c r="T279" i="1"/>
  <c r="U279" i="1" s="1"/>
  <c r="T280" i="1"/>
  <c r="U280" i="1" s="1"/>
  <c r="T281" i="1"/>
  <c r="U281" i="1" s="1"/>
  <c r="T282" i="1"/>
  <c r="U282" i="1" s="1"/>
  <c r="T283" i="1"/>
  <c r="U283" i="1" s="1"/>
  <c r="T284" i="1"/>
  <c r="U284" i="1" s="1"/>
  <c r="T285" i="1"/>
  <c r="U285" i="1" s="1"/>
  <c r="T286" i="1"/>
  <c r="U286" i="1" s="1"/>
  <c r="T287" i="1"/>
  <c r="U287" i="1" s="1"/>
  <c r="T288" i="1"/>
  <c r="U288" i="1" s="1"/>
  <c r="T289" i="1"/>
  <c r="U289" i="1" s="1"/>
  <c r="T290" i="1"/>
  <c r="U290" i="1" s="1"/>
  <c r="T291" i="1"/>
  <c r="U291" i="1" s="1"/>
  <c r="T292" i="1"/>
  <c r="U292" i="1" s="1"/>
  <c r="T293" i="1"/>
  <c r="U293" i="1" s="1"/>
  <c r="T294" i="1"/>
  <c r="U294" i="1" s="1"/>
  <c r="T295" i="1"/>
  <c r="U295" i="1" s="1"/>
  <c r="T296" i="1"/>
  <c r="U296" i="1" s="1"/>
  <c r="T297" i="1"/>
  <c r="U297" i="1" s="1"/>
  <c r="T298" i="1"/>
  <c r="U298" i="1" s="1"/>
  <c r="T299" i="1"/>
  <c r="U299" i="1" s="1"/>
  <c r="T300" i="1"/>
  <c r="U300" i="1" s="1"/>
  <c r="T301" i="1"/>
  <c r="U301" i="1" s="1"/>
  <c r="T302" i="1"/>
  <c r="U302" i="1" s="1"/>
  <c r="T303" i="1"/>
  <c r="U303" i="1" s="1"/>
  <c r="T304" i="1"/>
  <c r="U304" i="1" s="1"/>
  <c r="T305" i="1"/>
  <c r="U305" i="1" s="1"/>
  <c r="T306" i="1"/>
  <c r="U306" i="1" s="1"/>
  <c r="T307" i="1"/>
  <c r="U307" i="1" s="1"/>
  <c r="T308" i="1"/>
  <c r="U308" i="1" s="1"/>
  <c r="T309" i="1"/>
  <c r="U309" i="1" s="1"/>
  <c r="T310" i="1"/>
  <c r="U310" i="1" s="1"/>
  <c r="T311" i="1"/>
  <c r="U311" i="1" s="1"/>
  <c r="T312" i="1"/>
  <c r="U312" i="1" s="1"/>
  <c r="T313" i="1"/>
  <c r="U313" i="1" s="1"/>
  <c r="T314" i="1"/>
  <c r="U314" i="1" s="1"/>
  <c r="T315" i="1"/>
  <c r="U315" i="1" s="1"/>
  <c r="T316" i="1"/>
  <c r="U316" i="1" s="1"/>
  <c r="T317" i="1"/>
  <c r="U317" i="1" s="1"/>
  <c r="T318" i="1"/>
  <c r="U318" i="1" s="1"/>
  <c r="T319" i="1"/>
  <c r="U319" i="1" s="1"/>
  <c r="T320" i="1"/>
  <c r="U320" i="1" s="1"/>
  <c r="T321" i="1"/>
  <c r="U321" i="1" s="1"/>
  <c r="T322" i="1"/>
  <c r="U322" i="1" s="1"/>
  <c r="T323" i="1"/>
  <c r="U323" i="1" s="1"/>
  <c r="T324" i="1"/>
  <c r="U324" i="1" s="1"/>
  <c r="T325" i="1"/>
  <c r="U325" i="1" s="1"/>
  <c r="T326" i="1"/>
  <c r="U326" i="1" s="1"/>
  <c r="T327" i="1"/>
  <c r="U327" i="1" s="1"/>
  <c r="T328" i="1"/>
  <c r="U328" i="1" s="1"/>
  <c r="T329" i="1"/>
  <c r="U329" i="1" s="1"/>
  <c r="T330" i="1"/>
  <c r="U330" i="1" s="1"/>
  <c r="T331" i="1"/>
  <c r="U331" i="1" s="1"/>
  <c r="T332" i="1"/>
  <c r="U332" i="1" s="1"/>
  <c r="T333" i="1"/>
  <c r="U333" i="1" s="1"/>
  <c r="T334" i="1"/>
  <c r="U334" i="1" s="1"/>
  <c r="T335" i="1"/>
  <c r="U335" i="1" s="1"/>
  <c r="T336" i="1"/>
  <c r="U336" i="1" s="1"/>
  <c r="T337" i="1"/>
  <c r="U337" i="1" s="1"/>
  <c r="T338" i="1"/>
  <c r="U338" i="1" s="1"/>
  <c r="T339" i="1"/>
  <c r="U339" i="1" s="1"/>
  <c r="T340" i="1"/>
  <c r="U340" i="1" s="1"/>
  <c r="T341" i="1"/>
  <c r="U341" i="1" s="1"/>
  <c r="T342" i="1"/>
  <c r="U342" i="1" s="1"/>
  <c r="T343" i="1"/>
  <c r="U343" i="1" s="1"/>
  <c r="T344" i="1"/>
  <c r="U344" i="1" s="1"/>
  <c r="T345" i="1"/>
  <c r="U345" i="1" s="1"/>
  <c r="T346" i="1"/>
  <c r="U346" i="1" s="1"/>
  <c r="T347" i="1"/>
  <c r="U347" i="1" s="1"/>
  <c r="T348" i="1"/>
  <c r="U348" i="1" s="1"/>
  <c r="T349" i="1"/>
  <c r="U349" i="1" s="1"/>
  <c r="T350" i="1"/>
  <c r="U350" i="1" s="1"/>
  <c r="T351" i="1"/>
  <c r="U351" i="1" s="1"/>
  <c r="T352" i="1"/>
  <c r="U352" i="1" s="1"/>
  <c r="T353" i="1"/>
  <c r="U353" i="1" s="1"/>
  <c r="T354" i="1"/>
  <c r="U354" i="1" s="1"/>
  <c r="T355" i="1"/>
  <c r="U355" i="1" s="1"/>
  <c r="T356" i="1"/>
  <c r="U356" i="1" s="1"/>
  <c r="T357" i="1"/>
  <c r="U357" i="1" s="1"/>
  <c r="T358" i="1"/>
  <c r="U358" i="1" s="1"/>
  <c r="T359" i="1"/>
  <c r="U359" i="1" s="1"/>
  <c r="T360" i="1"/>
  <c r="U360" i="1" s="1"/>
  <c r="T361" i="1"/>
  <c r="U361" i="1" s="1"/>
  <c r="T362" i="1"/>
  <c r="U362" i="1" s="1"/>
  <c r="T363" i="1"/>
  <c r="U363" i="1" s="1"/>
  <c r="T364" i="1"/>
  <c r="U364" i="1" s="1"/>
  <c r="T365" i="1"/>
  <c r="U365" i="1" s="1"/>
  <c r="T366" i="1"/>
  <c r="U366" i="1" s="1"/>
  <c r="T367" i="1"/>
  <c r="U367" i="1" s="1"/>
  <c r="T368" i="1"/>
  <c r="U368" i="1" s="1"/>
  <c r="T369" i="1"/>
  <c r="U369" i="1" s="1"/>
  <c r="T370" i="1"/>
  <c r="U370" i="1" s="1"/>
  <c r="T371" i="1"/>
  <c r="U371" i="1" s="1"/>
  <c r="T372" i="1"/>
  <c r="U372" i="1" s="1"/>
  <c r="T373" i="1"/>
  <c r="U373" i="1" s="1"/>
  <c r="T374" i="1"/>
  <c r="U374" i="1" s="1"/>
  <c r="T375" i="1"/>
  <c r="U375" i="1" s="1"/>
  <c r="T376" i="1"/>
  <c r="U376" i="1" s="1"/>
  <c r="T377" i="1"/>
  <c r="U377" i="1" s="1"/>
  <c r="T378" i="1"/>
  <c r="U378" i="1" s="1"/>
  <c r="T379" i="1"/>
  <c r="U379" i="1" s="1"/>
  <c r="T380" i="1"/>
  <c r="U380" i="1" s="1"/>
  <c r="T381" i="1"/>
  <c r="U381" i="1" s="1"/>
  <c r="T382" i="1"/>
  <c r="U382" i="1" s="1"/>
  <c r="T383" i="1"/>
  <c r="U383" i="1" s="1"/>
  <c r="T384" i="1"/>
  <c r="U384" i="1" s="1"/>
  <c r="T385" i="1"/>
  <c r="U385" i="1" s="1"/>
  <c r="T386" i="1"/>
  <c r="U386" i="1" s="1"/>
  <c r="T387" i="1"/>
  <c r="U387" i="1" s="1"/>
  <c r="T388" i="1"/>
  <c r="U388" i="1" s="1"/>
  <c r="T389" i="1"/>
  <c r="U389" i="1" s="1"/>
  <c r="T390" i="1"/>
  <c r="U390" i="1" s="1"/>
  <c r="T391" i="1"/>
  <c r="U391" i="1" s="1"/>
  <c r="T392" i="1"/>
  <c r="U392" i="1" s="1"/>
  <c r="T393" i="1"/>
  <c r="U393" i="1" s="1"/>
  <c r="T394" i="1"/>
  <c r="U394" i="1" s="1"/>
  <c r="T395" i="1"/>
  <c r="U395" i="1" s="1"/>
  <c r="T396" i="1"/>
  <c r="U396" i="1" s="1"/>
  <c r="T397" i="1"/>
  <c r="U397" i="1" s="1"/>
  <c r="T398" i="1"/>
  <c r="U398" i="1" s="1"/>
  <c r="T399" i="1"/>
  <c r="U399" i="1" s="1"/>
  <c r="T400" i="1"/>
  <c r="U400" i="1" s="1"/>
  <c r="T401" i="1"/>
  <c r="U401" i="1" s="1"/>
  <c r="T402" i="1"/>
  <c r="U402" i="1" s="1"/>
  <c r="T403" i="1"/>
  <c r="U403" i="1" s="1"/>
  <c r="T404" i="1"/>
  <c r="U404" i="1" s="1"/>
  <c r="T405" i="1"/>
  <c r="U405" i="1" s="1"/>
  <c r="T406" i="1"/>
  <c r="U406" i="1" s="1"/>
  <c r="T407" i="1"/>
  <c r="U407" i="1" s="1"/>
  <c r="T408" i="1"/>
  <c r="U408" i="1" s="1"/>
  <c r="T409" i="1"/>
  <c r="U409" i="1" s="1"/>
  <c r="T410" i="1"/>
  <c r="U410" i="1" s="1"/>
  <c r="T411" i="1"/>
  <c r="U411" i="1" s="1"/>
  <c r="T412" i="1"/>
  <c r="U412" i="1" s="1"/>
  <c r="T413" i="1"/>
  <c r="U413" i="1" s="1"/>
  <c r="T414" i="1"/>
  <c r="U414" i="1" s="1"/>
  <c r="T415" i="1"/>
  <c r="U415" i="1" s="1"/>
  <c r="T416" i="1"/>
  <c r="U416" i="1" s="1"/>
  <c r="T417" i="1"/>
  <c r="U417" i="1" s="1"/>
  <c r="T418" i="1"/>
  <c r="U418" i="1" s="1"/>
  <c r="T419" i="1"/>
  <c r="U419" i="1" s="1"/>
  <c r="T420" i="1"/>
  <c r="U420" i="1" s="1"/>
  <c r="T421" i="1"/>
  <c r="U421" i="1" s="1"/>
  <c r="T422" i="1"/>
  <c r="U422" i="1" s="1"/>
  <c r="T423" i="1"/>
  <c r="U423" i="1" s="1"/>
  <c r="T424" i="1"/>
  <c r="U424" i="1" s="1"/>
  <c r="T425" i="1"/>
  <c r="U425" i="1" s="1"/>
  <c r="T426" i="1"/>
  <c r="U426" i="1" s="1"/>
  <c r="T427" i="1"/>
  <c r="U427" i="1" s="1"/>
  <c r="T428" i="1"/>
  <c r="U428" i="1" s="1"/>
  <c r="T429" i="1"/>
  <c r="U429" i="1" s="1"/>
  <c r="T430" i="1"/>
  <c r="U430" i="1" s="1"/>
  <c r="T431" i="1"/>
  <c r="U431" i="1" s="1"/>
  <c r="T432" i="1"/>
  <c r="U432" i="1" s="1"/>
  <c r="T433" i="1"/>
  <c r="U433" i="1" s="1"/>
  <c r="T434" i="1"/>
  <c r="U434" i="1" s="1"/>
  <c r="T435" i="1"/>
  <c r="U435" i="1" s="1"/>
  <c r="T436" i="1"/>
  <c r="U436" i="1" s="1"/>
  <c r="T437" i="1"/>
  <c r="U437" i="1" s="1"/>
  <c r="T438" i="1"/>
  <c r="U438" i="1" s="1"/>
  <c r="T439" i="1"/>
  <c r="U439" i="1" s="1"/>
  <c r="T440" i="1"/>
  <c r="U440" i="1" s="1"/>
  <c r="T441" i="1"/>
  <c r="U441" i="1" s="1"/>
  <c r="T442" i="1"/>
  <c r="U442" i="1" s="1"/>
  <c r="T443" i="1"/>
  <c r="U443" i="1" s="1"/>
  <c r="T444" i="1"/>
  <c r="U444" i="1" s="1"/>
  <c r="T445" i="1"/>
  <c r="U445" i="1" s="1"/>
  <c r="T446" i="1"/>
  <c r="U446" i="1" s="1"/>
  <c r="T447" i="1"/>
  <c r="U447" i="1" s="1"/>
  <c r="T448" i="1"/>
  <c r="U448" i="1" s="1"/>
  <c r="T449" i="1"/>
  <c r="U449" i="1" s="1"/>
  <c r="T450" i="1"/>
  <c r="U450" i="1" s="1"/>
  <c r="T451" i="1"/>
  <c r="U451" i="1" s="1"/>
  <c r="T452" i="1"/>
  <c r="U452" i="1" s="1"/>
  <c r="T453" i="1"/>
  <c r="U453" i="1" s="1"/>
  <c r="T454" i="1"/>
  <c r="U454" i="1" s="1"/>
  <c r="T455" i="1"/>
  <c r="U455" i="1" s="1"/>
  <c r="T456" i="1"/>
  <c r="U456" i="1" s="1"/>
  <c r="T457" i="1"/>
  <c r="U457" i="1" s="1"/>
  <c r="T458" i="1"/>
  <c r="U458" i="1" s="1"/>
  <c r="T459" i="1"/>
  <c r="U459" i="1" s="1"/>
  <c r="T460" i="1"/>
  <c r="U460" i="1" s="1"/>
  <c r="T461" i="1"/>
  <c r="U461" i="1" s="1"/>
  <c r="T462" i="1"/>
  <c r="U462" i="1" s="1"/>
  <c r="T463" i="1"/>
  <c r="U463" i="1" s="1"/>
  <c r="T464" i="1"/>
  <c r="U464" i="1" s="1"/>
  <c r="T465" i="1"/>
  <c r="U465" i="1" s="1"/>
  <c r="T466" i="1"/>
  <c r="U466" i="1" s="1"/>
  <c r="T467" i="1"/>
  <c r="U467" i="1" s="1"/>
  <c r="T468" i="1"/>
  <c r="U468" i="1" s="1"/>
  <c r="T469" i="1"/>
  <c r="U469" i="1" s="1"/>
  <c r="T470" i="1"/>
  <c r="U470" i="1" s="1"/>
  <c r="T471" i="1"/>
  <c r="U471" i="1" s="1"/>
  <c r="T472" i="1"/>
  <c r="U472" i="1" s="1"/>
  <c r="T473" i="1"/>
  <c r="U473" i="1" s="1"/>
  <c r="T474" i="1"/>
  <c r="U474" i="1" s="1"/>
  <c r="T475" i="1"/>
  <c r="U475" i="1" s="1"/>
  <c r="T476" i="1"/>
  <c r="U476" i="1" s="1"/>
  <c r="T477" i="1"/>
  <c r="U477" i="1" s="1"/>
  <c r="T478" i="1"/>
  <c r="U478" i="1" s="1"/>
  <c r="T479" i="1"/>
  <c r="U479" i="1" s="1"/>
  <c r="T480" i="1"/>
  <c r="U480" i="1" s="1"/>
  <c r="T481" i="1"/>
  <c r="U481" i="1" s="1"/>
  <c r="T482" i="1"/>
  <c r="U482" i="1" s="1"/>
  <c r="T483" i="1"/>
  <c r="U483" i="1" s="1"/>
  <c r="T484" i="1"/>
  <c r="U484" i="1" s="1"/>
  <c r="T485" i="1"/>
  <c r="U485" i="1" s="1"/>
  <c r="T486" i="1"/>
  <c r="U486" i="1" s="1"/>
  <c r="T487" i="1"/>
  <c r="U487" i="1" s="1"/>
  <c r="T488" i="1"/>
  <c r="U488" i="1" s="1"/>
  <c r="T489" i="1"/>
  <c r="U489" i="1" s="1"/>
  <c r="T490" i="1"/>
  <c r="U490" i="1" s="1"/>
  <c r="T491" i="1"/>
  <c r="U491" i="1" s="1"/>
  <c r="T492" i="1"/>
  <c r="U492" i="1" s="1"/>
  <c r="T493" i="1"/>
  <c r="U493" i="1" s="1"/>
  <c r="T494" i="1"/>
  <c r="U494" i="1" s="1"/>
  <c r="T495" i="1"/>
  <c r="U495" i="1" s="1"/>
  <c r="T496" i="1"/>
  <c r="U496" i="1" s="1"/>
  <c r="T497" i="1"/>
  <c r="U497" i="1" s="1"/>
  <c r="T498" i="1"/>
  <c r="U498" i="1" s="1"/>
  <c r="T499" i="1"/>
  <c r="U499" i="1" s="1"/>
  <c r="T500" i="1"/>
  <c r="U500" i="1" s="1"/>
  <c r="T2" i="1"/>
  <c r="U2" i="1" s="1"/>
  <c r="S500" i="1"/>
  <c r="S499" i="1"/>
  <c r="S498" i="1"/>
  <c r="S497" i="1"/>
  <c r="S496" i="1"/>
  <c r="S495" i="1"/>
  <c r="V495" i="1" s="1"/>
  <c r="S494" i="1"/>
  <c r="S493" i="1"/>
  <c r="S492" i="1"/>
  <c r="S491" i="1"/>
  <c r="S490" i="1"/>
  <c r="S489" i="1"/>
  <c r="V489" i="1" s="1"/>
  <c r="S488" i="1"/>
  <c r="S487" i="1"/>
  <c r="S486" i="1"/>
  <c r="S485" i="1"/>
  <c r="S484" i="1"/>
  <c r="S483" i="1"/>
  <c r="V483" i="1" s="1"/>
  <c r="S482" i="1"/>
  <c r="S481" i="1"/>
  <c r="S480" i="1"/>
  <c r="S479" i="1"/>
  <c r="S478" i="1"/>
  <c r="S477" i="1"/>
  <c r="V477" i="1" s="1"/>
  <c r="S476" i="1"/>
  <c r="S475" i="1"/>
  <c r="S474" i="1"/>
  <c r="S473" i="1"/>
  <c r="S472" i="1"/>
  <c r="S471" i="1"/>
  <c r="V471" i="1" s="1"/>
  <c r="S470" i="1"/>
  <c r="S469" i="1"/>
  <c r="S468" i="1"/>
  <c r="S467" i="1"/>
  <c r="S466" i="1"/>
  <c r="S465" i="1"/>
  <c r="V465" i="1" s="1"/>
  <c r="S464" i="1"/>
  <c r="S463" i="1"/>
  <c r="S462" i="1"/>
  <c r="S461" i="1"/>
  <c r="S460" i="1"/>
  <c r="S459" i="1"/>
  <c r="V459" i="1" s="1"/>
  <c r="S458" i="1"/>
  <c r="S457" i="1"/>
  <c r="S456" i="1"/>
  <c r="S455" i="1"/>
  <c r="S454" i="1"/>
  <c r="S453" i="1"/>
  <c r="V453" i="1" s="1"/>
  <c r="S452" i="1"/>
  <c r="S451" i="1"/>
  <c r="S450" i="1"/>
  <c r="S449" i="1"/>
  <c r="S448" i="1"/>
  <c r="S447" i="1"/>
  <c r="V447" i="1" s="1"/>
  <c r="S446" i="1"/>
  <c r="S445" i="1"/>
  <c r="S444" i="1"/>
  <c r="S443" i="1"/>
  <c r="S442" i="1"/>
  <c r="S441" i="1"/>
  <c r="V441" i="1" s="1"/>
  <c r="S440" i="1"/>
  <c r="S439" i="1"/>
  <c r="S438" i="1"/>
  <c r="S437" i="1"/>
  <c r="S436" i="1"/>
  <c r="S435" i="1"/>
  <c r="V435" i="1" s="1"/>
  <c r="S434" i="1"/>
  <c r="S433" i="1"/>
  <c r="S432" i="1"/>
  <c r="S431" i="1"/>
  <c r="S430" i="1"/>
  <c r="S429" i="1"/>
  <c r="V429" i="1" s="1"/>
  <c r="S428" i="1"/>
  <c r="S427" i="1"/>
  <c r="S426" i="1"/>
  <c r="S425" i="1"/>
  <c r="S424" i="1"/>
  <c r="S423" i="1"/>
  <c r="V423" i="1" s="1"/>
  <c r="S422" i="1"/>
  <c r="S421" i="1"/>
  <c r="S420" i="1"/>
  <c r="S419" i="1"/>
  <c r="S418" i="1"/>
  <c r="S417" i="1"/>
  <c r="V417" i="1" s="1"/>
  <c r="S416" i="1"/>
  <c r="S415" i="1"/>
  <c r="S414" i="1"/>
  <c r="S413" i="1"/>
  <c r="S412" i="1"/>
  <c r="S411" i="1"/>
  <c r="V411" i="1" s="1"/>
  <c r="S410" i="1"/>
  <c r="S409" i="1"/>
  <c r="S408" i="1"/>
  <c r="S407" i="1"/>
  <c r="S406" i="1"/>
  <c r="S405" i="1"/>
  <c r="V405" i="1" s="1"/>
  <c r="S404" i="1"/>
  <c r="S403" i="1"/>
  <c r="S402" i="1"/>
  <c r="S401" i="1"/>
  <c r="S400" i="1"/>
  <c r="S399" i="1"/>
  <c r="V399" i="1" s="1"/>
  <c r="S398" i="1"/>
  <c r="S397" i="1"/>
  <c r="S396" i="1"/>
  <c r="S395" i="1"/>
  <c r="S394" i="1"/>
  <c r="S393" i="1"/>
  <c r="V393" i="1" s="1"/>
  <c r="S392" i="1"/>
  <c r="S391" i="1"/>
  <c r="S390" i="1"/>
  <c r="S389" i="1"/>
  <c r="S388" i="1"/>
  <c r="S387" i="1"/>
  <c r="V387" i="1" s="1"/>
  <c r="S386" i="1"/>
  <c r="S385" i="1"/>
  <c r="S384" i="1"/>
  <c r="S383" i="1"/>
  <c r="S382" i="1"/>
  <c r="S381" i="1"/>
  <c r="V381" i="1" s="1"/>
  <c r="S380" i="1"/>
  <c r="S379" i="1"/>
  <c r="S378" i="1"/>
  <c r="S377" i="1"/>
  <c r="S376" i="1"/>
  <c r="S375" i="1"/>
  <c r="V375" i="1" s="1"/>
  <c r="S374" i="1"/>
  <c r="S373" i="1"/>
  <c r="S372" i="1"/>
  <c r="S371" i="1"/>
  <c r="S370" i="1"/>
  <c r="S369" i="1"/>
  <c r="V369" i="1" s="1"/>
  <c r="S368" i="1"/>
  <c r="S367" i="1"/>
  <c r="S366" i="1"/>
  <c r="S365" i="1"/>
  <c r="S364" i="1"/>
  <c r="S363" i="1"/>
  <c r="V363" i="1" s="1"/>
  <c r="S362" i="1"/>
  <c r="S361" i="1"/>
  <c r="S360" i="1"/>
  <c r="S359" i="1"/>
  <c r="S358" i="1"/>
  <c r="S357" i="1"/>
  <c r="V357" i="1" s="1"/>
  <c r="S356" i="1"/>
  <c r="S355" i="1"/>
  <c r="S354" i="1"/>
  <c r="S353" i="1"/>
  <c r="S352" i="1"/>
  <c r="S351" i="1"/>
  <c r="V351" i="1" s="1"/>
  <c r="S350" i="1"/>
  <c r="S349" i="1"/>
  <c r="S348" i="1"/>
  <c r="S347" i="1"/>
  <c r="S346" i="1"/>
  <c r="S345" i="1"/>
  <c r="V345" i="1" s="1"/>
  <c r="S344" i="1"/>
  <c r="S343" i="1"/>
  <c r="S342" i="1"/>
  <c r="S341" i="1"/>
  <c r="S340" i="1"/>
  <c r="S339" i="1"/>
  <c r="V339" i="1" s="1"/>
  <c r="S338" i="1"/>
  <c r="S337" i="1"/>
  <c r="S336" i="1"/>
  <c r="S335" i="1"/>
  <c r="S334" i="1"/>
  <c r="S333" i="1"/>
  <c r="V333" i="1" s="1"/>
  <c r="S332" i="1"/>
  <c r="S331" i="1"/>
  <c r="S330" i="1"/>
  <c r="S329" i="1"/>
  <c r="S328" i="1"/>
  <c r="S327" i="1"/>
  <c r="V327" i="1" s="1"/>
  <c r="S326" i="1"/>
  <c r="S325" i="1"/>
  <c r="S324" i="1"/>
  <c r="S323" i="1"/>
  <c r="S322" i="1"/>
  <c r="S321" i="1"/>
  <c r="V321" i="1" s="1"/>
  <c r="S320" i="1"/>
  <c r="S319" i="1"/>
  <c r="S318" i="1"/>
  <c r="S317" i="1"/>
  <c r="S316" i="1"/>
  <c r="S315" i="1"/>
  <c r="V315" i="1" s="1"/>
  <c r="S314" i="1"/>
  <c r="S313" i="1"/>
  <c r="S312" i="1"/>
  <c r="S311" i="1"/>
  <c r="S310" i="1"/>
  <c r="S309" i="1"/>
  <c r="V309" i="1" s="1"/>
  <c r="S308" i="1"/>
  <c r="S307" i="1"/>
  <c r="S306" i="1"/>
  <c r="S305" i="1"/>
  <c r="S304" i="1"/>
  <c r="S303" i="1"/>
  <c r="V303" i="1" s="1"/>
  <c r="S302" i="1"/>
  <c r="S301" i="1"/>
  <c r="S300" i="1"/>
  <c r="S299" i="1"/>
  <c r="S298" i="1"/>
  <c r="S297" i="1"/>
  <c r="V297" i="1" s="1"/>
  <c r="S296" i="1"/>
  <c r="S295" i="1"/>
  <c r="S294" i="1"/>
  <c r="S293" i="1"/>
  <c r="S292" i="1"/>
  <c r="S291" i="1"/>
  <c r="V291" i="1" s="1"/>
  <c r="S290" i="1"/>
  <c r="S289" i="1"/>
  <c r="S288" i="1"/>
  <c r="S287" i="1"/>
  <c r="S286" i="1"/>
  <c r="S285" i="1"/>
  <c r="V285" i="1" s="1"/>
  <c r="S284" i="1"/>
  <c r="S283" i="1"/>
  <c r="S282" i="1"/>
  <c r="S281" i="1"/>
  <c r="S280" i="1"/>
  <c r="S279" i="1"/>
  <c r="V279" i="1" s="1"/>
  <c r="S278" i="1"/>
  <c r="S277" i="1"/>
  <c r="S276" i="1"/>
  <c r="S275" i="1"/>
  <c r="S274" i="1"/>
  <c r="S273" i="1"/>
  <c r="V273" i="1" s="1"/>
  <c r="S272" i="1"/>
  <c r="S271" i="1"/>
  <c r="S270" i="1"/>
  <c r="S269" i="1"/>
  <c r="S268" i="1"/>
  <c r="S267" i="1"/>
  <c r="V267" i="1" s="1"/>
  <c r="S266" i="1"/>
  <c r="S265" i="1"/>
  <c r="S264" i="1"/>
  <c r="S263" i="1"/>
  <c r="S262" i="1"/>
  <c r="S261" i="1"/>
  <c r="V261" i="1" s="1"/>
  <c r="S260" i="1"/>
  <c r="S259" i="1"/>
  <c r="S258" i="1"/>
  <c r="S257" i="1"/>
  <c r="S256" i="1"/>
  <c r="S255" i="1"/>
  <c r="V255" i="1" s="1"/>
  <c r="S254" i="1"/>
  <c r="S253" i="1"/>
  <c r="S252" i="1"/>
  <c r="S251" i="1"/>
  <c r="S250" i="1"/>
  <c r="S249" i="1"/>
  <c r="V249" i="1" s="1"/>
  <c r="S248" i="1"/>
  <c r="S247" i="1"/>
  <c r="S246" i="1"/>
  <c r="S245" i="1"/>
  <c r="S244" i="1"/>
  <c r="S243" i="1"/>
  <c r="V243" i="1" s="1"/>
  <c r="S242" i="1"/>
  <c r="S241" i="1"/>
  <c r="S240" i="1"/>
  <c r="S239" i="1"/>
  <c r="S238" i="1"/>
  <c r="S237" i="1"/>
  <c r="V237" i="1" s="1"/>
  <c r="S236" i="1"/>
  <c r="S235" i="1"/>
  <c r="S234" i="1"/>
  <c r="S233" i="1"/>
  <c r="S232" i="1"/>
  <c r="S231" i="1"/>
  <c r="V231" i="1" s="1"/>
  <c r="S230" i="1"/>
  <c r="S229" i="1"/>
  <c r="S228" i="1"/>
  <c r="S227" i="1"/>
  <c r="S226" i="1"/>
  <c r="S225" i="1"/>
  <c r="V225" i="1" s="1"/>
  <c r="S224" i="1"/>
  <c r="S223" i="1"/>
  <c r="S222" i="1"/>
  <c r="S221" i="1"/>
  <c r="S220" i="1"/>
  <c r="S219" i="1"/>
  <c r="V219" i="1" s="1"/>
  <c r="S218" i="1"/>
  <c r="S217" i="1"/>
  <c r="S216" i="1"/>
  <c r="S215" i="1"/>
  <c r="S214" i="1"/>
  <c r="S213" i="1"/>
  <c r="V213" i="1" s="1"/>
  <c r="S212" i="1"/>
  <c r="S211" i="1"/>
  <c r="S210" i="1"/>
  <c r="S209" i="1"/>
  <c r="S208" i="1"/>
  <c r="S207" i="1"/>
  <c r="V207" i="1" s="1"/>
  <c r="S206" i="1"/>
  <c r="S205" i="1"/>
  <c r="S204" i="1"/>
  <c r="S203" i="1"/>
  <c r="S202" i="1"/>
  <c r="S201" i="1"/>
  <c r="V201" i="1" s="1"/>
  <c r="S200" i="1"/>
  <c r="S199" i="1"/>
  <c r="S198" i="1"/>
  <c r="S197" i="1"/>
  <c r="S196" i="1"/>
  <c r="S195" i="1"/>
  <c r="V195" i="1" s="1"/>
  <c r="S194" i="1"/>
  <c r="S193" i="1"/>
  <c r="S192" i="1"/>
  <c r="S191" i="1"/>
  <c r="S190" i="1"/>
  <c r="S189" i="1"/>
  <c r="V189" i="1" s="1"/>
  <c r="S188" i="1"/>
  <c r="S187" i="1"/>
  <c r="S186" i="1"/>
  <c r="S185" i="1"/>
  <c r="S184" i="1"/>
  <c r="S183" i="1"/>
  <c r="V183" i="1" s="1"/>
  <c r="S182" i="1"/>
  <c r="S181" i="1"/>
  <c r="S180" i="1"/>
  <c r="S179" i="1"/>
  <c r="S178" i="1"/>
  <c r="S177" i="1"/>
  <c r="V177" i="1" s="1"/>
  <c r="S176" i="1"/>
  <c r="S175" i="1"/>
  <c r="S174" i="1"/>
  <c r="S173" i="1"/>
  <c r="S172" i="1"/>
  <c r="S171" i="1"/>
  <c r="V171" i="1" s="1"/>
  <c r="S170" i="1"/>
  <c r="S169" i="1"/>
  <c r="S168" i="1"/>
  <c r="S167" i="1"/>
  <c r="S166" i="1"/>
  <c r="S165" i="1"/>
  <c r="V165" i="1" s="1"/>
  <c r="S164" i="1"/>
  <c r="S163" i="1"/>
  <c r="S162" i="1"/>
  <c r="S161" i="1"/>
  <c r="S160" i="1"/>
  <c r="S159" i="1"/>
  <c r="V159" i="1" s="1"/>
  <c r="S158" i="1"/>
  <c r="S157" i="1"/>
  <c r="S156" i="1"/>
  <c r="S155" i="1"/>
  <c r="S154" i="1"/>
  <c r="S153" i="1"/>
  <c r="V153" i="1" s="1"/>
  <c r="S152" i="1"/>
  <c r="S151" i="1"/>
  <c r="S150" i="1"/>
  <c r="S149" i="1"/>
  <c r="S148" i="1"/>
  <c r="S147" i="1"/>
  <c r="V147" i="1" s="1"/>
  <c r="S146" i="1"/>
  <c r="S145" i="1"/>
  <c r="S144" i="1"/>
  <c r="S143" i="1"/>
  <c r="S142" i="1"/>
  <c r="S141" i="1"/>
  <c r="V141" i="1" s="1"/>
  <c r="S140" i="1"/>
  <c r="S139" i="1"/>
  <c r="S138" i="1"/>
  <c r="S137" i="1"/>
  <c r="S136" i="1"/>
  <c r="S135" i="1"/>
  <c r="V135" i="1" s="1"/>
  <c r="S134" i="1"/>
  <c r="S133" i="1"/>
  <c r="S132" i="1"/>
  <c r="S131" i="1"/>
  <c r="S130" i="1"/>
  <c r="S129" i="1"/>
  <c r="V129" i="1" s="1"/>
  <c r="S128" i="1"/>
  <c r="S127" i="1"/>
  <c r="S126" i="1"/>
  <c r="S125" i="1"/>
  <c r="S124" i="1"/>
  <c r="S123" i="1"/>
  <c r="V123" i="1" s="1"/>
  <c r="S122" i="1"/>
  <c r="S121" i="1"/>
  <c r="S120" i="1"/>
  <c r="S119" i="1"/>
  <c r="S118" i="1"/>
  <c r="S117" i="1"/>
  <c r="V117" i="1" s="1"/>
  <c r="S116" i="1"/>
  <c r="S115" i="1"/>
  <c r="S114" i="1"/>
  <c r="S113" i="1"/>
  <c r="S112" i="1"/>
  <c r="S111" i="1"/>
  <c r="V111" i="1" s="1"/>
  <c r="S110" i="1"/>
  <c r="S109" i="1"/>
  <c r="S108" i="1"/>
  <c r="S107" i="1"/>
  <c r="S106" i="1"/>
  <c r="S105" i="1"/>
  <c r="V105" i="1" s="1"/>
  <c r="S104" i="1"/>
  <c r="S103" i="1"/>
  <c r="S102" i="1"/>
  <c r="S101" i="1"/>
  <c r="S100" i="1"/>
  <c r="S99" i="1"/>
  <c r="V99" i="1" s="1"/>
  <c r="S98" i="1"/>
  <c r="S97" i="1"/>
  <c r="S96" i="1"/>
  <c r="S95" i="1"/>
  <c r="S94" i="1"/>
  <c r="S93" i="1"/>
  <c r="V93" i="1" s="1"/>
  <c r="S92" i="1"/>
  <c r="S91" i="1"/>
  <c r="S90" i="1"/>
  <c r="S89" i="1"/>
  <c r="S88" i="1"/>
  <c r="S87" i="1"/>
  <c r="V87" i="1" s="1"/>
  <c r="S86" i="1"/>
  <c r="S85" i="1"/>
  <c r="S84" i="1"/>
  <c r="S83" i="1"/>
  <c r="S82" i="1"/>
  <c r="S81" i="1"/>
  <c r="V81" i="1" s="1"/>
  <c r="S80" i="1"/>
  <c r="S79" i="1"/>
  <c r="S78" i="1"/>
  <c r="S77" i="1"/>
  <c r="S76" i="1"/>
  <c r="S75" i="1"/>
  <c r="V75" i="1" s="1"/>
  <c r="S74" i="1"/>
  <c r="S73" i="1"/>
  <c r="S72" i="1"/>
  <c r="S71" i="1"/>
  <c r="S70" i="1"/>
  <c r="S69" i="1"/>
  <c r="V69" i="1" s="1"/>
  <c r="S68" i="1"/>
  <c r="S67" i="1"/>
  <c r="S66" i="1"/>
  <c r="S65" i="1"/>
  <c r="S64" i="1"/>
  <c r="S63" i="1"/>
  <c r="V63" i="1" s="1"/>
  <c r="S62" i="1"/>
  <c r="S61" i="1"/>
  <c r="S60" i="1"/>
  <c r="S59" i="1"/>
  <c r="S58" i="1"/>
  <c r="S57" i="1"/>
  <c r="V57" i="1" s="1"/>
  <c r="S56" i="1"/>
  <c r="S55" i="1"/>
  <c r="S54" i="1"/>
  <c r="S53" i="1"/>
  <c r="S52" i="1"/>
  <c r="S51" i="1"/>
  <c r="V51" i="1" s="1"/>
  <c r="S50" i="1"/>
  <c r="S49" i="1"/>
  <c r="S48" i="1"/>
  <c r="S47" i="1"/>
  <c r="S46" i="1"/>
  <c r="S45" i="1"/>
  <c r="V45" i="1" s="1"/>
  <c r="S44" i="1"/>
  <c r="S43" i="1"/>
  <c r="S42" i="1"/>
  <c r="S41" i="1"/>
  <c r="S40" i="1"/>
  <c r="S39" i="1"/>
  <c r="V39" i="1" s="1"/>
  <c r="S38" i="1"/>
  <c r="S37" i="1"/>
  <c r="S36" i="1"/>
  <c r="S35" i="1"/>
  <c r="S34" i="1"/>
  <c r="S33" i="1"/>
  <c r="V33" i="1" s="1"/>
  <c r="S32" i="1"/>
  <c r="S31" i="1"/>
  <c r="S30" i="1"/>
  <c r="S29" i="1"/>
  <c r="S28" i="1"/>
  <c r="S27" i="1"/>
  <c r="V27" i="1" s="1"/>
  <c r="S26" i="1"/>
  <c r="S25" i="1"/>
  <c r="S24" i="1"/>
  <c r="S23" i="1"/>
  <c r="S22" i="1"/>
  <c r="S21" i="1"/>
  <c r="V21" i="1" s="1"/>
  <c r="S20" i="1"/>
  <c r="S19" i="1"/>
  <c r="S18" i="1"/>
  <c r="S17" i="1"/>
  <c r="S16" i="1"/>
  <c r="S15" i="1"/>
  <c r="V15" i="1" s="1"/>
  <c r="S14" i="1"/>
  <c r="S13" i="1"/>
  <c r="S12" i="1"/>
  <c r="S11" i="1"/>
  <c r="S10" i="1"/>
  <c r="S9" i="1"/>
  <c r="V9" i="1" s="1"/>
  <c r="S8" i="1"/>
  <c r="S7" i="1"/>
  <c r="S6" i="1"/>
  <c r="S5" i="1"/>
  <c r="S4" i="1"/>
  <c r="S3" i="1"/>
  <c r="V3" i="1" s="1"/>
  <c r="S2" i="1"/>
  <c r="P500" i="1"/>
  <c r="Q500" i="1" s="1"/>
  <c r="R500" i="1" s="1"/>
  <c r="P499" i="1"/>
  <c r="Q499" i="1" s="1"/>
  <c r="R499" i="1" s="1"/>
  <c r="P498" i="1"/>
  <c r="Q498" i="1" s="1"/>
  <c r="R498" i="1" s="1"/>
  <c r="P497" i="1"/>
  <c r="Q497" i="1" s="1"/>
  <c r="R497" i="1" s="1"/>
  <c r="P496" i="1"/>
  <c r="Q496" i="1" s="1"/>
  <c r="R496" i="1" s="1"/>
  <c r="P495" i="1"/>
  <c r="Q495" i="1" s="1"/>
  <c r="R495" i="1" s="1"/>
  <c r="P494" i="1"/>
  <c r="Q494" i="1" s="1"/>
  <c r="R494" i="1" s="1"/>
  <c r="P493" i="1"/>
  <c r="Q493" i="1" s="1"/>
  <c r="R493" i="1" s="1"/>
  <c r="P492" i="1"/>
  <c r="Q492" i="1" s="1"/>
  <c r="R492" i="1" s="1"/>
  <c r="P491" i="1"/>
  <c r="Q491" i="1" s="1"/>
  <c r="R491" i="1" s="1"/>
  <c r="P490" i="1"/>
  <c r="Q490" i="1" s="1"/>
  <c r="R490" i="1" s="1"/>
  <c r="P489" i="1"/>
  <c r="Q489" i="1" s="1"/>
  <c r="R489" i="1" s="1"/>
  <c r="P488" i="1"/>
  <c r="Q488" i="1" s="1"/>
  <c r="R488" i="1" s="1"/>
  <c r="P487" i="1"/>
  <c r="Q487" i="1" s="1"/>
  <c r="R487" i="1" s="1"/>
  <c r="P486" i="1"/>
  <c r="Q486" i="1" s="1"/>
  <c r="R486" i="1" s="1"/>
  <c r="P485" i="1"/>
  <c r="Q485" i="1" s="1"/>
  <c r="R485" i="1" s="1"/>
  <c r="P484" i="1"/>
  <c r="Q484" i="1" s="1"/>
  <c r="R484" i="1" s="1"/>
  <c r="P483" i="1"/>
  <c r="Q483" i="1" s="1"/>
  <c r="R483" i="1" s="1"/>
  <c r="P482" i="1"/>
  <c r="Q482" i="1" s="1"/>
  <c r="R482" i="1" s="1"/>
  <c r="P481" i="1"/>
  <c r="Q481" i="1" s="1"/>
  <c r="R481" i="1" s="1"/>
  <c r="P480" i="1"/>
  <c r="Q480" i="1" s="1"/>
  <c r="R480" i="1" s="1"/>
  <c r="P479" i="1"/>
  <c r="Q479" i="1" s="1"/>
  <c r="R479" i="1" s="1"/>
  <c r="P478" i="1"/>
  <c r="Q478" i="1" s="1"/>
  <c r="R478" i="1" s="1"/>
  <c r="P477" i="1"/>
  <c r="Q477" i="1" s="1"/>
  <c r="R477" i="1" s="1"/>
  <c r="P476" i="1"/>
  <c r="Q476" i="1" s="1"/>
  <c r="R476" i="1" s="1"/>
  <c r="P475" i="1"/>
  <c r="Q475" i="1" s="1"/>
  <c r="R475" i="1" s="1"/>
  <c r="P474" i="1"/>
  <c r="Q474" i="1" s="1"/>
  <c r="R474" i="1" s="1"/>
  <c r="P473" i="1"/>
  <c r="Q473" i="1" s="1"/>
  <c r="R473" i="1" s="1"/>
  <c r="P472" i="1"/>
  <c r="Q472" i="1" s="1"/>
  <c r="R472" i="1" s="1"/>
  <c r="P471" i="1"/>
  <c r="Q471" i="1" s="1"/>
  <c r="R471" i="1" s="1"/>
  <c r="P470" i="1"/>
  <c r="Q470" i="1" s="1"/>
  <c r="R470" i="1" s="1"/>
  <c r="P469" i="1"/>
  <c r="Q469" i="1" s="1"/>
  <c r="R469" i="1" s="1"/>
  <c r="P468" i="1"/>
  <c r="Q468" i="1" s="1"/>
  <c r="R468" i="1" s="1"/>
  <c r="P467" i="1"/>
  <c r="Q467" i="1" s="1"/>
  <c r="R467" i="1" s="1"/>
  <c r="P466" i="1"/>
  <c r="Q466" i="1" s="1"/>
  <c r="R466" i="1" s="1"/>
  <c r="P465" i="1"/>
  <c r="Q465" i="1" s="1"/>
  <c r="R465" i="1" s="1"/>
  <c r="P464" i="1"/>
  <c r="Q464" i="1" s="1"/>
  <c r="R464" i="1" s="1"/>
  <c r="P463" i="1"/>
  <c r="Q463" i="1" s="1"/>
  <c r="R463" i="1" s="1"/>
  <c r="P462" i="1"/>
  <c r="Q462" i="1" s="1"/>
  <c r="R462" i="1" s="1"/>
  <c r="P461" i="1"/>
  <c r="Q461" i="1" s="1"/>
  <c r="R461" i="1" s="1"/>
  <c r="P460" i="1"/>
  <c r="Q460" i="1" s="1"/>
  <c r="R460" i="1" s="1"/>
  <c r="P459" i="1"/>
  <c r="Q459" i="1" s="1"/>
  <c r="R459" i="1" s="1"/>
  <c r="P458" i="1"/>
  <c r="Q458" i="1" s="1"/>
  <c r="R458" i="1" s="1"/>
  <c r="P457" i="1"/>
  <c r="Q457" i="1" s="1"/>
  <c r="R457" i="1" s="1"/>
  <c r="P456" i="1"/>
  <c r="Q456" i="1" s="1"/>
  <c r="R456" i="1" s="1"/>
  <c r="P455" i="1"/>
  <c r="Q455" i="1" s="1"/>
  <c r="R455" i="1" s="1"/>
  <c r="P454" i="1"/>
  <c r="Q454" i="1" s="1"/>
  <c r="R454" i="1" s="1"/>
  <c r="P453" i="1"/>
  <c r="Q453" i="1" s="1"/>
  <c r="R453" i="1" s="1"/>
  <c r="P452" i="1"/>
  <c r="Q452" i="1" s="1"/>
  <c r="R452" i="1" s="1"/>
  <c r="P451" i="1"/>
  <c r="Q451" i="1" s="1"/>
  <c r="R451" i="1" s="1"/>
  <c r="P450" i="1"/>
  <c r="Q450" i="1" s="1"/>
  <c r="R450" i="1" s="1"/>
  <c r="P449" i="1"/>
  <c r="Q449" i="1" s="1"/>
  <c r="R449" i="1" s="1"/>
  <c r="P448" i="1"/>
  <c r="Q448" i="1" s="1"/>
  <c r="R448" i="1" s="1"/>
  <c r="P447" i="1"/>
  <c r="Q447" i="1" s="1"/>
  <c r="R447" i="1" s="1"/>
  <c r="P446" i="1"/>
  <c r="Q446" i="1" s="1"/>
  <c r="R446" i="1" s="1"/>
  <c r="P445" i="1"/>
  <c r="Q445" i="1" s="1"/>
  <c r="R445" i="1" s="1"/>
  <c r="P444" i="1"/>
  <c r="Q444" i="1" s="1"/>
  <c r="R444" i="1" s="1"/>
  <c r="P443" i="1"/>
  <c r="Q443" i="1" s="1"/>
  <c r="R443" i="1" s="1"/>
  <c r="P442" i="1"/>
  <c r="Q442" i="1" s="1"/>
  <c r="R442" i="1" s="1"/>
  <c r="P441" i="1"/>
  <c r="Q441" i="1" s="1"/>
  <c r="R441" i="1" s="1"/>
  <c r="P440" i="1"/>
  <c r="Q440" i="1" s="1"/>
  <c r="R440" i="1" s="1"/>
  <c r="P439" i="1"/>
  <c r="Q439" i="1" s="1"/>
  <c r="R439" i="1" s="1"/>
  <c r="P438" i="1"/>
  <c r="Q438" i="1" s="1"/>
  <c r="R438" i="1" s="1"/>
  <c r="P437" i="1"/>
  <c r="Q437" i="1" s="1"/>
  <c r="R437" i="1" s="1"/>
  <c r="P436" i="1"/>
  <c r="Q436" i="1" s="1"/>
  <c r="R436" i="1" s="1"/>
  <c r="P435" i="1"/>
  <c r="Q435" i="1" s="1"/>
  <c r="R435" i="1" s="1"/>
  <c r="P434" i="1"/>
  <c r="Q434" i="1" s="1"/>
  <c r="R434" i="1" s="1"/>
  <c r="P433" i="1"/>
  <c r="Q433" i="1" s="1"/>
  <c r="R433" i="1" s="1"/>
  <c r="P432" i="1"/>
  <c r="Q432" i="1" s="1"/>
  <c r="R432" i="1" s="1"/>
  <c r="P431" i="1"/>
  <c r="Q431" i="1" s="1"/>
  <c r="R431" i="1" s="1"/>
  <c r="P430" i="1"/>
  <c r="Q430" i="1" s="1"/>
  <c r="R430" i="1" s="1"/>
  <c r="P429" i="1"/>
  <c r="Q429" i="1" s="1"/>
  <c r="R429" i="1" s="1"/>
  <c r="P428" i="1"/>
  <c r="Q428" i="1" s="1"/>
  <c r="R428" i="1" s="1"/>
  <c r="P427" i="1"/>
  <c r="Q427" i="1" s="1"/>
  <c r="R427" i="1" s="1"/>
  <c r="P426" i="1"/>
  <c r="Q426" i="1" s="1"/>
  <c r="R426" i="1" s="1"/>
  <c r="P425" i="1"/>
  <c r="Q425" i="1" s="1"/>
  <c r="R425" i="1" s="1"/>
  <c r="P424" i="1"/>
  <c r="Q424" i="1" s="1"/>
  <c r="R424" i="1" s="1"/>
  <c r="P423" i="1"/>
  <c r="Q423" i="1" s="1"/>
  <c r="R423" i="1" s="1"/>
  <c r="P422" i="1"/>
  <c r="Q422" i="1" s="1"/>
  <c r="R422" i="1" s="1"/>
  <c r="P421" i="1"/>
  <c r="Q421" i="1" s="1"/>
  <c r="R421" i="1" s="1"/>
  <c r="P420" i="1"/>
  <c r="Q420" i="1" s="1"/>
  <c r="R420" i="1" s="1"/>
  <c r="P419" i="1"/>
  <c r="Q419" i="1" s="1"/>
  <c r="R419" i="1" s="1"/>
  <c r="P418" i="1"/>
  <c r="Q418" i="1" s="1"/>
  <c r="R418" i="1" s="1"/>
  <c r="P417" i="1"/>
  <c r="Q417" i="1" s="1"/>
  <c r="R417" i="1" s="1"/>
  <c r="P416" i="1"/>
  <c r="Q416" i="1" s="1"/>
  <c r="R416" i="1" s="1"/>
  <c r="P415" i="1"/>
  <c r="Q415" i="1" s="1"/>
  <c r="R415" i="1" s="1"/>
  <c r="P414" i="1"/>
  <c r="Q414" i="1" s="1"/>
  <c r="R414" i="1" s="1"/>
  <c r="P413" i="1"/>
  <c r="Q413" i="1" s="1"/>
  <c r="R413" i="1" s="1"/>
  <c r="P412" i="1"/>
  <c r="Q412" i="1" s="1"/>
  <c r="R412" i="1" s="1"/>
  <c r="P411" i="1"/>
  <c r="Q411" i="1" s="1"/>
  <c r="R411" i="1" s="1"/>
  <c r="P410" i="1"/>
  <c r="Q410" i="1" s="1"/>
  <c r="R410" i="1" s="1"/>
  <c r="P409" i="1"/>
  <c r="Q409" i="1" s="1"/>
  <c r="R409" i="1" s="1"/>
  <c r="P408" i="1"/>
  <c r="Q408" i="1" s="1"/>
  <c r="R408" i="1" s="1"/>
  <c r="P407" i="1"/>
  <c r="Q407" i="1" s="1"/>
  <c r="R407" i="1" s="1"/>
  <c r="P406" i="1"/>
  <c r="Q406" i="1" s="1"/>
  <c r="R406" i="1" s="1"/>
  <c r="P405" i="1"/>
  <c r="Q405" i="1" s="1"/>
  <c r="R405" i="1" s="1"/>
  <c r="P404" i="1"/>
  <c r="Q404" i="1" s="1"/>
  <c r="R404" i="1" s="1"/>
  <c r="P403" i="1"/>
  <c r="Q403" i="1" s="1"/>
  <c r="R403" i="1" s="1"/>
  <c r="P402" i="1"/>
  <c r="Q402" i="1" s="1"/>
  <c r="R402" i="1" s="1"/>
  <c r="P401" i="1"/>
  <c r="Q401" i="1" s="1"/>
  <c r="R401" i="1" s="1"/>
  <c r="P400" i="1"/>
  <c r="Q400" i="1" s="1"/>
  <c r="R400" i="1" s="1"/>
  <c r="P399" i="1"/>
  <c r="Q399" i="1" s="1"/>
  <c r="R399" i="1" s="1"/>
  <c r="P398" i="1"/>
  <c r="Q398" i="1" s="1"/>
  <c r="R398" i="1" s="1"/>
  <c r="P397" i="1"/>
  <c r="Q397" i="1" s="1"/>
  <c r="R397" i="1" s="1"/>
  <c r="P396" i="1"/>
  <c r="Q396" i="1" s="1"/>
  <c r="R396" i="1" s="1"/>
  <c r="P395" i="1"/>
  <c r="Q395" i="1" s="1"/>
  <c r="R395" i="1" s="1"/>
  <c r="P394" i="1"/>
  <c r="Q394" i="1" s="1"/>
  <c r="R394" i="1" s="1"/>
  <c r="P393" i="1"/>
  <c r="Q393" i="1" s="1"/>
  <c r="R393" i="1" s="1"/>
  <c r="P392" i="1"/>
  <c r="Q392" i="1" s="1"/>
  <c r="R392" i="1" s="1"/>
  <c r="P391" i="1"/>
  <c r="Q391" i="1" s="1"/>
  <c r="R391" i="1" s="1"/>
  <c r="P390" i="1"/>
  <c r="Q390" i="1" s="1"/>
  <c r="R390" i="1" s="1"/>
  <c r="P389" i="1"/>
  <c r="Q389" i="1" s="1"/>
  <c r="R389" i="1" s="1"/>
  <c r="P388" i="1"/>
  <c r="Q388" i="1" s="1"/>
  <c r="R388" i="1" s="1"/>
  <c r="P387" i="1"/>
  <c r="Q387" i="1" s="1"/>
  <c r="R387" i="1" s="1"/>
  <c r="P386" i="1"/>
  <c r="Q386" i="1" s="1"/>
  <c r="R386" i="1" s="1"/>
  <c r="P385" i="1"/>
  <c r="Q385" i="1" s="1"/>
  <c r="R385" i="1" s="1"/>
  <c r="P384" i="1"/>
  <c r="Q384" i="1" s="1"/>
  <c r="R384" i="1" s="1"/>
  <c r="P383" i="1"/>
  <c r="Q383" i="1" s="1"/>
  <c r="R383" i="1" s="1"/>
  <c r="P382" i="1"/>
  <c r="Q382" i="1" s="1"/>
  <c r="R382" i="1" s="1"/>
  <c r="P381" i="1"/>
  <c r="Q381" i="1" s="1"/>
  <c r="R381" i="1" s="1"/>
  <c r="P380" i="1"/>
  <c r="Q380" i="1" s="1"/>
  <c r="R380" i="1" s="1"/>
  <c r="P379" i="1"/>
  <c r="Q379" i="1" s="1"/>
  <c r="R379" i="1" s="1"/>
  <c r="P378" i="1"/>
  <c r="Q378" i="1" s="1"/>
  <c r="R378" i="1" s="1"/>
  <c r="P377" i="1"/>
  <c r="Q377" i="1" s="1"/>
  <c r="R377" i="1" s="1"/>
  <c r="P376" i="1"/>
  <c r="Q376" i="1" s="1"/>
  <c r="R376" i="1" s="1"/>
  <c r="P375" i="1"/>
  <c r="Q375" i="1" s="1"/>
  <c r="R375" i="1" s="1"/>
  <c r="P374" i="1"/>
  <c r="Q374" i="1" s="1"/>
  <c r="R374" i="1" s="1"/>
  <c r="P373" i="1"/>
  <c r="Q373" i="1" s="1"/>
  <c r="R373" i="1" s="1"/>
  <c r="P372" i="1"/>
  <c r="Q372" i="1" s="1"/>
  <c r="R372" i="1" s="1"/>
  <c r="P371" i="1"/>
  <c r="Q371" i="1" s="1"/>
  <c r="R371" i="1" s="1"/>
  <c r="P370" i="1"/>
  <c r="Q370" i="1" s="1"/>
  <c r="R370" i="1" s="1"/>
  <c r="P369" i="1"/>
  <c r="Q369" i="1" s="1"/>
  <c r="R369" i="1" s="1"/>
  <c r="P368" i="1"/>
  <c r="Q368" i="1" s="1"/>
  <c r="R368" i="1" s="1"/>
  <c r="P367" i="1"/>
  <c r="Q367" i="1" s="1"/>
  <c r="R367" i="1" s="1"/>
  <c r="P366" i="1"/>
  <c r="Q366" i="1" s="1"/>
  <c r="R366" i="1" s="1"/>
  <c r="P365" i="1"/>
  <c r="Q365" i="1" s="1"/>
  <c r="R365" i="1" s="1"/>
  <c r="P364" i="1"/>
  <c r="Q364" i="1" s="1"/>
  <c r="R364" i="1" s="1"/>
  <c r="P363" i="1"/>
  <c r="Q363" i="1" s="1"/>
  <c r="R363" i="1" s="1"/>
  <c r="P362" i="1"/>
  <c r="Q362" i="1" s="1"/>
  <c r="R362" i="1" s="1"/>
  <c r="P361" i="1"/>
  <c r="Q361" i="1" s="1"/>
  <c r="R361" i="1" s="1"/>
  <c r="P360" i="1"/>
  <c r="Q360" i="1" s="1"/>
  <c r="R360" i="1" s="1"/>
  <c r="P359" i="1"/>
  <c r="Q359" i="1" s="1"/>
  <c r="R359" i="1" s="1"/>
  <c r="P358" i="1"/>
  <c r="Q358" i="1" s="1"/>
  <c r="R358" i="1" s="1"/>
  <c r="P357" i="1"/>
  <c r="Q357" i="1" s="1"/>
  <c r="R357" i="1" s="1"/>
  <c r="P356" i="1"/>
  <c r="Q356" i="1" s="1"/>
  <c r="R356" i="1" s="1"/>
  <c r="P355" i="1"/>
  <c r="Q355" i="1" s="1"/>
  <c r="R355" i="1" s="1"/>
  <c r="P354" i="1"/>
  <c r="Q354" i="1" s="1"/>
  <c r="R354" i="1" s="1"/>
  <c r="P353" i="1"/>
  <c r="Q353" i="1" s="1"/>
  <c r="R353" i="1" s="1"/>
  <c r="P352" i="1"/>
  <c r="Q352" i="1" s="1"/>
  <c r="R352" i="1" s="1"/>
  <c r="P351" i="1"/>
  <c r="Q351" i="1" s="1"/>
  <c r="R351" i="1" s="1"/>
  <c r="P350" i="1"/>
  <c r="Q350" i="1" s="1"/>
  <c r="R350" i="1" s="1"/>
  <c r="P349" i="1"/>
  <c r="Q349" i="1" s="1"/>
  <c r="R349" i="1" s="1"/>
  <c r="P348" i="1"/>
  <c r="Q348" i="1" s="1"/>
  <c r="R348" i="1" s="1"/>
  <c r="P347" i="1"/>
  <c r="Q347" i="1" s="1"/>
  <c r="R347" i="1" s="1"/>
  <c r="P346" i="1"/>
  <c r="Q346" i="1" s="1"/>
  <c r="R346" i="1" s="1"/>
  <c r="P345" i="1"/>
  <c r="Q345" i="1" s="1"/>
  <c r="R345" i="1" s="1"/>
  <c r="P344" i="1"/>
  <c r="Q344" i="1" s="1"/>
  <c r="R344" i="1" s="1"/>
  <c r="P343" i="1"/>
  <c r="Q343" i="1" s="1"/>
  <c r="R343" i="1" s="1"/>
  <c r="P342" i="1"/>
  <c r="Q342" i="1" s="1"/>
  <c r="R342" i="1" s="1"/>
  <c r="P341" i="1"/>
  <c r="Q341" i="1" s="1"/>
  <c r="R341" i="1" s="1"/>
  <c r="P340" i="1"/>
  <c r="Q340" i="1" s="1"/>
  <c r="R340" i="1" s="1"/>
  <c r="P339" i="1"/>
  <c r="Q339" i="1" s="1"/>
  <c r="R339" i="1" s="1"/>
  <c r="P338" i="1"/>
  <c r="Q338" i="1" s="1"/>
  <c r="R338" i="1" s="1"/>
  <c r="P337" i="1"/>
  <c r="Q337" i="1" s="1"/>
  <c r="R337" i="1" s="1"/>
  <c r="P336" i="1"/>
  <c r="Q336" i="1" s="1"/>
  <c r="R336" i="1" s="1"/>
  <c r="P335" i="1"/>
  <c r="Q335" i="1" s="1"/>
  <c r="R335" i="1" s="1"/>
  <c r="P334" i="1"/>
  <c r="Q334" i="1" s="1"/>
  <c r="R334" i="1" s="1"/>
  <c r="P333" i="1"/>
  <c r="Q333" i="1" s="1"/>
  <c r="R333" i="1" s="1"/>
  <c r="P332" i="1"/>
  <c r="Q332" i="1" s="1"/>
  <c r="R332" i="1" s="1"/>
  <c r="P331" i="1"/>
  <c r="Q331" i="1" s="1"/>
  <c r="R331" i="1" s="1"/>
  <c r="P330" i="1"/>
  <c r="Q330" i="1" s="1"/>
  <c r="R330" i="1" s="1"/>
  <c r="P329" i="1"/>
  <c r="Q329" i="1" s="1"/>
  <c r="R329" i="1" s="1"/>
  <c r="P328" i="1"/>
  <c r="Q328" i="1" s="1"/>
  <c r="R328" i="1" s="1"/>
  <c r="P327" i="1"/>
  <c r="Q327" i="1" s="1"/>
  <c r="R327" i="1" s="1"/>
  <c r="P326" i="1"/>
  <c r="Q326" i="1" s="1"/>
  <c r="R326" i="1" s="1"/>
  <c r="P325" i="1"/>
  <c r="Q325" i="1" s="1"/>
  <c r="R325" i="1" s="1"/>
  <c r="P324" i="1"/>
  <c r="Q324" i="1" s="1"/>
  <c r="R324" i="1" s="1"/>
  <c r="P323" i="1"/>
  <c r="Q323" i="1" s="1"/>
  <c r="R323" i="1" s="1"/>
  <c r="P322" i="1"/>
  <c r="Q322" i="1" s="1"/>
  <c r="R322" i="1" s="1"/>
  <c r="P321" i="1"/>
  <c r="Q321" i="1" s="1"/>
  <c r="R321" i="1" s="1"/>
  <c r="P320" i="1"/>
  <c r="Q320" i="1" s="1"/>
  <c r="R320" i="1" s="1"/>
  <c r="P319" i="1"/>
  <c r="Q319" i="1" s="1"/>
  <c r="R319" i="1" s="1"/>
  <c r="P318" i="1"/>
  <c r="Q318" i="1" s="1"/>
  <c r="R318" i="1" s="1"/>
  <c r="P317" i="1"/>
  <c r="Q317" i="1" s="1"/>
  <c r="R317" i="1" s="1"/>
  <c r="P316" i="1"/>
  <c r="Q316" i="1" s="1"/>
  <c r="R316" i="1" s="1"/>
  <c r="P315" i="1"/>
  <c r="Q315" i="1" s="1"/>
  <c r="R315" i="1" s="1"/>
  <c r="P314" i="1"/>
  <c r="Q314" i="1" s="1"/>
  <c r="R314" i="1" s="1"/>
  <c r="P313" i="1"/>
  <c r="Q313" i="1" s="1"/>
  <c r="R313" i="1" s="1"/>
  <c r="P312" i="1"/>
  <c r="Q312" i="1" s="1"/>
  <c r="R312" i="1" s="1"/>
  <c r="P311" i="1"/>
  <c r="Q311" i="1" s="1"/>
  <c r="R311" i="1" s="1"/>
  <c r="P310" i="1"/>
  <c r="Q310" i="1" s="1"/>
  <c r="R310" i="1" s="1"/>
  <c r="P309" i="1"/>
  <c r="Q309" i="1" s="1"/>
  <c r="R309" i="1" s="1"/>
  <c r="P308" i="1"/>
  <c r="Q308" i="1" s="1"/>
  <c r="R308" i="1" s="1"/>
  <c r="P307" i="1"/>
  <c r="Q307" i="1" s="1"/>
  <c r="R307" i="1" s="1"/>
  <c r="P306" i="1"/>
  <c r="Q306" i="1" s="1"/>
  <c r="R306" i="1" s="1"/>
  <c r="P305" i="1"/>
  <c r="Q305" i="1" s="1"/>
  <c r="R305" i="1" s="1"/>
  <c r="P304" i="1"/>
  <c r="Q304" i="1" s="1"/>
  <c r="R304" i="1" s="1"/>
  <c r="P303" i="1"/>
  <c r="Q303" i="1" s="1"/>
  <c r="R303" i="1" s="1"/>
  <c r="P302" i="1"/>
  <c r="Q302" i="1" s="1"/>
  <c r="R302" i="1" s="1"/>
  <c r="P301" i="1"/>
  <c r="Q301" i="1" s="1"/>
  <c r="R301" i="1" s="1"/>
  <c r="P300" i="1"/>
  <c r="Q300" i="1" s="1"/>
  <c r="R300" i="1" s="1"/>
  <c r="P299" i="1"/>
  <c r="Q299" i="1" s="1"/>
  <c r="R299" i="1" s="1"/>
  <c r="P298" i="1"/>
  <c r="Q298" i="1" s="1"/>
  <c r="R298" i="1" s="1"/>
  <c r="P297" i="1"/>
  <c r="Q297" i="1" s="1"/>
  <c r="R297" i="1" s="1"/>
  <c r="P296" i="1"/>
  <c r="Q296" i="1" s="1"/>
  <c r="R296" i="1" s="1"/>
  <c r="P295" i="1"/>
  <c r="Q295" i="1" s="1"/>
  <c r="R295" i="1" s="1"/>
  <c r="P294" i="1"/>
  <c r="Q294" i="1" s="1"/>
  <c r="R294" i="1" s="1"/>
  <c r="P293" i="1"/>
  <c r="Q293" i="1" s="1"/>
  <c r="R293" i="1" s="1"/>
  <c r="P292" i="1"/>
  <c r="Q292" i="1" s="1"/>
  <c r="R292" i="1" s="1"/>
  <c r="P291" i="1"/>
  <c r="Q291" i="1" s="1"/>
  <c r="R291" i="1" s="1"/>
  <c r="P290" i="1"/>
  <c r="Q290" i="1" s="1"/>
  <c r="R290" i="1" s="1"/>
  <c r="P289" i="1"/>
  <c r="Q289" i="1" s="1"/>
  <c r="R289" i="1" s="1"/>
  <c r="P288" i="1"/>
  <c r="Q288" i="1" s="1"/>
  <c r="R288" i="1" s="1"/>
  <c r="P287" i="1"/>
  <c r="Q287" i="1" s="1"/>
  <c r="R287" i="1" s="1"/>
  <c r="P286" i="1"/>
  <c r="Q286" i="1" s="1"/>
  <c r="R286" i="1" s="1"/>
  <c r="P285" i="1"/>
  <c r="Q285" i="1" s="1"/>
  <c r="R285" i="1" s="1"/>
  <c r="P284" i="1"/>
  <c r="Q284" i="1" s="1"/>
  <c r="R284" i="1" s="1"/>
  <c r="P283" i="1"/>
  <c r="Q283" i="1" s="1"/>
  <c r="R283" i="1" s="1"/>
  <c r="P282" i="1"/>
  <c r="Q282" i="1" s="1"/>
  <c r="R282" i="1" s="1"/>
  <c r="P281" i="1"/>
  <c r="Q281" i="1" s="1"/>
  <c r="R281" i="1" s="1"/>
  <c r="P280" i="1"/>
  <c r="Q280" i="1" s="1"/>
  <c r="R280" i="1" s="1"/>
  <c r="P279" i="1"/>
  <c r="Q279" i="1" s="1"/>
  <c r="R279" i="1" s="1"/>
  <c r="P278" i="1"/>
  <c r="Q278" i="1" s="1"/>
  <c r="R278" i="1" s="1"/>
  <c r="P277" i="1"/>
  <c r="Q277" i="1" s="1"/>
  <c r="R277" i="1" s="1"/>
  <c r="P276" i="1"/>
  <c r="Q276" i="1" s="1"/>
  <c r="R276" i="1" s="1"/>
  <c r="P275" i="1"/>
  <c r="Q275" i="1" s="1"/>
  <c r="R275" i="1" s="1"/>
  <c r="P274" i="1"/>
  <c r="Q274" i="1" s="1"/>
  <c r="R274" i="1" s="1"/>
  <c r="P273" i="1"/>
  <c r="Q273" i="1" s="1"/>
  <c r="R273" i="1" s="1"/>
  <c r="P272" i="1"/>
  <c r="Q272" i="1" s="1"/>
  <c r="R272" i="1" s="1"/>
  <c r="P271" i="1"/>
  <c r="Q271" i="1" s="1"/>
  <c r="R271" i="1" s="1"/>
  <c r="P270" i="1"/>
  <c r="Q270" i="1" s="1"/>
  <c r="R270" i="1" s="1"/>
  <c r="P269" i="1"/>
  <c r="Q269" i="1" s="1"/>
  <c r="R269" i="1" s="1"/>
  <c r="P268" i="1"/>
  <c r="Q268" i="1" s="1"/>
  <c r="R268" i="1" s="1"/>
  <c r="P267" i="1"/>
  <c r="Q267" i="1" s="1"/>
  <c r="R267" i="1" s="1"/>
  <c r="P266" i="1"/>
  <c r="Q266" i="1" s="1"/>
  <c r="R266" i="1" s="1"/>
  <c r="P265" i="1"/>
  <c r="Q265" i="1" s="1"/>
  <c r="R265" i="1" s="1"/>
  <c r="P264" i="1"/>
  <c r="Q264" i="1" s="1"/>
  <c r="R264" i="1" s="1"/>
  <c r="P263" i="1"/>
  <c r="Q263" i="1" s="1"/>
  <c r="R263" i="1" s="1"/>
  <c r="P262" i="1"/>
  <c r="Q262" i="1" s="1"/>
  <c r="R262" i="1" s="1"/>
  <c r="P261" i="1"/>
  <c r="Q261" i="1" s="1"/>
  <c r="R261" i="1" s="1"/>
  <c r="P260" i="1"/>
  <c r="Q260" i="1" s="1"/>
  <c r="R260" i="1" s="1"/>
  <c r="P259" i="1"/>
  <c r="Q259" i="1" s="1"/>
  <c r="R259" i="1" s="1"/>
  <c r="P258" i="1"/>
  <c r="Q258" i="1" s="1"/>
  <c r="R258" i="1" s="1"/>
  <c r="P257" i="1"/>
  <c r="Q257" i="1" s="1"/>
  <c r="R257" i="1" s="1"/>
  <c r="P256" i="1"/>
  <c r="Q256" i="1" s="1"/>
  <c r="R256" i="1" s="1"/>
  <c r="P255" i="1"/>
  <c r="Q255" i="1" s="1"/>
  <c r="R255" i="1" s="1"/>
  <c r="P254" i="1"/>
  <c r="Q254" i="1" s="1"/>
  <c r="R254" i="1" s="1"/>
  <c r="P253" i="1"/>
  <c r="Q253" i="1" s="1"/>
  <c r="R253" i="1" s="1"/>
  <c r="P252" i="1"/>
  <c r="Q252" i="1" s="1"/>
  <c r="R252" i="1" s="1"/>
  <c r="P251" i="1"/>
  <c r="Q251" i="1" s="1"/>
  <c r="R251" i="1" s="1"/>
  <c r="P250" i="1"/>
  <c r="Q250" i="1" s="1"/>
  <c r="R250" i="1" s="1"/>
  <c r="P249" i="1"/>
  <c r="Q249" i="1" s="1"/>
  <c r="R249" i="1" s="1"/>
  <c r="P248" i="1"/>
  <c r="Q248" i="1" s="1"/>
  <c r="R248" i="1" s="1"/>
  <c r="P247" i="1"/>
  <c r="Q247" i="1" s="1"/>
  <c r="R247" i="1" s="1"/>
  <c r="P246" i="1"/>
  <c r="Q246" i="1" s="1"/>
  <c r="R246" i="1" s="1"/>
  <c r="P245" i="1"/>
  <c r="Q245" i="1" s="1"/>
  <c r="R245" i="1" s="1"/>
  <c r="P244" i="1"/>
  <c r="Q244" i="1" s="1"/>
  <c r="R244" i="1" s="1"/>
  <c r="P243" i="1"/>
  <c r="Q243" i="1" s="1"/>
  <c r="R243" i="1" s="1"/>
  <c r="P242" i="1"/>
  <c r="Q242" i="1" s="1"/>
  <c r="R242" i="1" s="1"/>
  <c r="P241" i="1"/>
  <c r="Q241" i="1" s="1"/>
  <c r="R241" i="1" s="1"/>
  <c r="P240" i="1"/>
  <c r="Q240" i="1" s="1"/>
  <c r="R240" i="1" s="1"/>
  <c r="P239" i="1"/>
  <c r="Q239" i="1" s="1"/>
  <c r="R239" i="1" s="1"/>
  <c r="P238" i="1"/>
  <c r="Q238" i="1" s="1"/>
  <c r="R238" i="1" s="1"/>
  <c r="P237" i="1"/>
  <c r="Q237" i="1" s="1"/>
  <c r="R237" i="1" s="1"/>
  <c r="P236" i="1"/>
  <c r="Q236" i="1" s="1"/>
  <c r="R236" i="1" s="1"/>
  <c r="P235" i="1"/>
  <c r="Q235" i="1" s="1"/>
  <c r="R235" i="1" s="1"/>
  <c r="P234" i="1"/>
  <c r="Q234" i="1" s="1"/>
  <c r="R234" i="1" s="1"/>
  <c r="P233" i="1"/>
  <c r="Q233" i="1" s="1"/>
  <c r="R233" i="1" s="1"/>
  <c r="P232" i="1"/>
  <c r="Q232" i="1" s="1"/>
  <c r="R232" i="1" s="1"/>
  <c r="P231" i="1"/>
  <c r="Q231" i="1" s="1"/>
  <c r="R231" i="1" s="1"/>
  <c r="P230" i="1"/>
  <c r="Q230" i="1" s="1"/>
  <c r="R230" i="1" s="1"/>
  <c r="P229" i="1"/>
  <c r="Q229" i="1" s="1"/>
  <c r="R229" i="1" s="1"/>
  <c r="P228" i="1"/>
  <c r="Q228" i="1" s="1"/>
  <c r="R228" i="1" s="1"/>
  <c r="P227" i="1"/>
  <c r="Q227" i="1" s="1"/>
  <c r="R227" i="1" s="1"/>
  <c r="P226" i="1"/>
  <c r="Q226" i="1" s="1"/>
  <c r="R226" i="1" s="1"/>
  <c r="P225" i="1"/>
  <c r="Q225" i="1" s="1"/>
  <c r="R225" i="1" s="1"/>
  <c r="P224" i="1"/>
  <c r="Q224" i="1" s="1"/>
  <c r="R224" i="1" s="1"/>
  <c r="P223" i="1"/>
  <c r="Q223" i="1" s="1"/>
  <c r="R223" i="1" s="1"/>
  <c r="P222" i="1"/>
  <c r="Q222" i="1" s="1"/>
  <c r="R222" i="1" s="1"/>
  <c r="P221" i="1"/>
  <c r="Q221" i="1" s="1"/>
  <c r="R221" i="1" s="1"/>
  <c r="P220" i="1"/>
  <c r="Q220" i="1" s="1"/>
  <c r="R220" i="1" s="1"/>
  <c r="P219" i="1"/>
  <c r="Q219" i="1" s="1"/>
  <c r="R219" i="1" s="1"/>
  <c r="P218" i="1"/>
  <c r="Q218" i="1" s="1"/>
  <c r="R218" i="1" s="1"/>
  <c r="P217" i="1"/>
  <c r="Q217" i="1" s="1"/>
  <c r="R217" i="1" s="1"/>
  <c r="P216" i="1"/>
  <c r="Q216" i="1" s="1"/>
  <c r="R216" i="1" s="1"/>
  <c r="P215" i="1"/>
  <c r="Q215" i="1" s="1"/>
  <c r="R215" i="1" s="1"/>
  <c r="P214" i="1"/>
  <c r="Q214" i="1" s="1"/>
  <c r="R214" i="1" s="1"/>
  <c r="P213" i="1"/>
  <c r="Q213" i="1" s="1"/>
  <c r="R213" i="1" s="1"/>
  <c r="P212" i="1"/>
  <c r="Q212" i="1" s="1"/>
  <c r="R212" i="1" s="1"/>
  <c r="P211" i="1"/>
  <c r="Q211" i="1" s="1"/>
  <c r="R211" i="1" s="1"/>
  <c r="P210" i="1"/>
  <c r="Q210" i="1" s="1"/>
  <c r="R210" i="1" s="1"/>
  <c r="P209" i="1"/>
  <c r="Q209" i="1" s="1"/>
  <c r="R209" i="1" s="1"/>
  <c r="P208" i="1"/>
  <c r="Q208" i="1" s="1"/>
  <c r="R208" i="1" s="1"/>
  <c r="P207" i="1"/>
  <c r="Q207" i="1" s="1"/>
  <c r="R207" i="1" s="1"/>
  <c r="P206" i="1"/>
  <c r="Q206" i="1" s="1"/>
  <c r="R206" i="1" s="1"/>
  <c r="P205" i="1"/>
  <c r="Q205" i="1" s="1"/>
  <c r="R205" i="1" s="1"/>
  <c r="P204" i="1"/>
  <c r="Q204" i="1" s="1"/>
  <c r="R204" i="1" s="1"/>
  <c r="P203" i="1"/>
  <c r="Q203" i="1" s="1"/>
  <c r="R203" i="1" s="1"/>
  <c r="P202" i="1"/>
  <c r="Q202" i="1" s="1"/>
  <c r="R202" i="1" s="1"/>
  <c r="P201" i="1"/>
  <c r="Q201" i="1" s="1"/>
  <c r="R201" i="1" s="1"/>
  <c r="P200" i="1"/>
  <c r="Q200" i="1" s="1"/>
  <c r="R200" i="1" s="1"/>
  <c r="P199" i="1"/>
  <c r="Q199" i="1" s="1"/>
  <c r="R199" i="1" s="1"/>
  <c r="P198" i="1"/>
  <c r="Q198" i="1" s="1"/>
  <c r="R198" i="1" s="1"/>
  <c r="P197" i="1"/>
  <c r="Q197" i="1" s="1"/>
  <c r="R197" i="1" s="1"/>
  <c r="P196" i="1"/>
  <c r="Q196" i="1" s="1"/>
  <c r="R196" i="1" s="1"/>
  <c r="P195" i="1"/>
  <c r="Q195" i="1" s="1"/>
  <c r="R195" i="1" s="1"/>
  <c r="P194" i="1"/>
  <c r="Q194" i="1" s="1"/>
  <c r="R194" i="1" s="1"/>
  <c r="P193" i="1"/>
  <c r="Q193" i="1" s="1"/>
  <c r="R193" i="1" s="1"/>
  <c r="P192" i="1"/>
  <c r="Q192" i="1" s="1"/>
  <c r="R192" i="1" s="1"/>
  <c r="P191" i="1"/>
  <c r="Q191" i="1" s="1"/>
  <c r="R191" i="1" s="1"/>
  <c r="P190" i="1"/>
  <c r="Q190" i="1" s="1"/>
  <c r="R190" i="1" s="1"/>
  <c r="P189" i="1"/>
  <c r="Q189" i="1" s="1"/>
  <c r="R189" i="1" s="1"/>
  <c r="P188" i="1"/>
  <c r="Q188" i="1" s="1"/>
  <c r="R188" i="1" s="1"/>
  <c r="P187" i="1"/>
  <c r="Q187" i="1" s="1"/>
  <c r="R187" i="1" s="1"/>
  <c r="P186" i="1"/>
  <c r="Q186" i="1" s="1"/>
  <c r="R186" i="1" s="1"/>
  <c r="P185" i="1"/>
  <c r="Q185" i="1" s="1"/>
  <c r="R185" i="1" s="1"/>
  <c r="P184" i="1"/>
  <c r="Q184" i="1" s="1"/>
  <c r="R184" i="1" s="1"/>
  <c r="P183" i="1"/>
  <c r="Q183" i="1" s="1"/>
  <c r="R183" i="1" s="1"/>
  <c r="P182" i="1"/>
  <c r="Q182" i="1" s="1"/>
  <c r="R182" i="1" s="1"/>
  <c r="P181" i="1"/>
  <c r="Q181" i="1" s="1"/>
  <c r="R181" i="1" s="1"/>
  <c r="P180" i="1"/>
  <c r="Q180" i="1" s="1"/>
  <c r="R180" i="1" s="1"/>
  <c r="P179" i="1"/>
  <c r="Q179" i="1" s="1"/>
  <c r="R179" i="1" s="1"/>
  <c r="P178" i="1"/>
  <c r="Q178" i="1" s="1"/>
  <c r="R178" i="1" s="1"/>
  <c r="P177" i="1"/>
  <c r="Q177" i="1" s="1"/>
  <c r="R177" i="1" s="1"/>
  <c r="P176" i="1"/>
  <c r="Q176" i="1" s="1"/>
  <c r="R176" i="1" s="1"/>
  <c r="P175" i="1"/>
  <c r="Q175" i="1" s="1"/>
  <c r="R175" i="1" s="1"/>
  <c r="P174" i="1"/>
  <c r="Q174" i="1" s="1"/>
  <c r="R174" i="1" s="1"/>
  <c r="P173" i="1"/>
  <c r="Q173" i="1" s="1"/>
  <c r="R173" i="1" s="1"/>
  <c r="P172" i="1"/>
  <c r="Q172" i="1" s="1"/>
  <c r="R172" i="1" s="1"/>
  <c r="P171" i="1"/>
  <c r="Q171" i="1" s="1"/>
  <c r="R171" i="1" s="1"/>
  <c r="P170" i="1"/>
  <c r="Q170" i="1" s="1"/>
  <c r="R170" i="1" s="1"/>
  <c r="P169" i="1"/>
  <c r="Q169" i="1" s="1"/>
  <c r="R169" i="1" s="1"/>
  <c r="P168" i="1"/>
  <c r="Q168" i="1" s="1"/>
  <c r="R168" i="1" s="1"/>
  <c r="P167" i="1"/>
  <c r="Q167" i="1" s="1"/>
  <c r="R167" i="1" s="1"/>
  <c r="P166" i="1"/>
  <c r="Q166" i="1" s="1"/>
  <c r="R166" i="1" s="1"/>
  <c r="P165" i="1"/>
  <c r="Q165" i="1" s="1"/>
  <c r="R165" i="1" s="1"/>
  <c r="P164" i="1"/>
  <c r="Q164" i="1" s="1"/>
  <c r="R164" i="1" s="1"/>
  <c r="P163" i="1"/>
  <c r="Q163" i="1" s="1"/>
  <c r="R163" i="1" s="1"/>
  <c r="P162" i="1"/>
  <c r="Q162" i="1" s="1"/>
  <c r="R162" i="1" s="1"/>
  <c r="P161" i="1"/>
  <c r="Q161" i="1" s="1"/>
  <c r="R161" i="1" s="1"/>
  <c r="P160" i="1"/>
  <c r="Q160" i="1" s="1"/>
  <c r="R160" i="1" s="1"/>
  <c r="P159" i="1"/>
  <c r="Q159" i="1" s="1"/>
  <c r="R159" i="1" s="1"/>
  <c r="P158" i="1"/>
  <c r="Q158" i="1" s="1"/>
  <c r="R158" i="1" s="1"/>
  <c r="P157" i="1"/>
  <c r="Q157" i="1" s="1"/>
  <c r="R157" i="1" s="1"/>
  <c r="P156" i="1"/>
  <c r="Q156" i="1" s="1"/>
  <c r="R156" i="1" s="1"/>
  <c r="P155" i="1"/>
  <c r="Q155" i="1" s="1"/>
  <c r="R155" i="1" s="1"/>
  <c r="P154" i="1"/>
  <c r="Q154" i="1" s="1"/>
  <c r="R154" i="1" s="1"/>
  <c r="P153" i="1"/>
  <c r="Q153" i="1" s="1"/>
  <c r="R153" i="1" s="1"/>
  <c r="P152" i="1"/>
  <c r="Q152" i="1" s="1"/>
  <c r="R152" i="1" s="1"/>
  <c r="P151" i="1"/>
  <c r="Q151" i="1" s="1"/>
  <c r="R151" i="1" s="1"/>
  <c r="P150" i="1"/>
  <c r="Q150" i="1" s="1"/>
  <c r="R150" i="1" s="1"/>
  <c r="P149" i="1"/>
  <c r="Q149" i="1" s="1"/>
  <c r="R149" i="1" s="1"/>
  <c r="P148" i="1"/>
  <c r="Q148" i="1" s="1"/>
  <c r="R148" i="1" s="1"/>
  <c r="P147" i="1"/>
  <c r="Q147" i="1" s="1"/>
  <c r="R147" i="1" s="1"/>
  <c r="P146" i="1"/>
  <c r="Q146" i="1" s="1"/>
  <c r="R146" i="1" s="1"/>
  <c r="P145" i="1"/>
  <c r="Q145" i="1" s="1"/>
  <c r="R145" i="1" s="1"/>
  <c r="P144" i="1"/>
  <c r="Q144" i="1" s="1"/>
  <c r="R144" i="1" s="1"/>
  <c r="P143" i="1"/>
  <c r="Q143" i="1" s="1"/>
  <c r="R143" i="1" s="1"/>
  <c r="P142" i="1"/>
  <c r="Q142" i="1" s="1"/>
  <c r="R142" i="1" s="1"/>
  <c r="P141" i="1"/>
  <c r="Q141" i="1" s="1"/>
  <c r="R141" i="1" s="1"/>
  <c r="P140" i="1"/>
  <c r="Q140" i="1" s="1"/>
  <c r="R140" i="1" s="1"/>
  <c r="P139" i="1"/>
  <c r="Q139" i="1" s="1"/>
  <c r="R139" i="1" s="1"/>
  <c r="P138" i="1"/>
  <c r="Q138" i="1" s="1"/>
  <c r="R138" i="1" s="1"/>
  <c r="P137" i="1"/>
  <c r="Q137" i="1" s="1"/>
  <c r="R137" i="1" s="1"/>
  <c r="P136" i="1"/>
  <c r="Q136" i="1" s="1"/>
  <c r="R136" i="1" s="1"/>
  <c r="P135" i="1"/>
  <c r="Q135" i="1" s="1"/>
  <c r="R135" i="1" s="1"/>
  <c r="P134" i="1"/>
  <c r="Q134" i="1" s="1"/>
  <c r="R134" i="1" s="1"/>
  <c r="P133" i="1"/>
  <c r="Q133" i="1" s="1"/>
  <c r="R133" i="1" s="1"/>
  <c r="P132" i="1"/>
  <c r="Q132" i="1" s="1"/>
  <c r="R132" i="1" s="1"/>
  <c r="P131" i="1"/>
  <c r="Q131" i="1" s="1"/>
  <c r="R131" i="1" s="1"/>
  <c r="P130" i="1"/>
  <c r="Q130" i="1" s="1"/>
  <c r="R130" i="1" s="1"/>
  <c r="P129" i="1"/>
  <c r="Q129" i="1" s="1"/>
  <c r="R129" i="1" s="1"/>
  <c r="P128" i="1"/>
  <c r="Q128" i="1" s="1"/>
  <c r="R128" i="1" s="1"/>
  <c r="P127" i="1"/>
  <c r="Q127" i="1" s="1"/>
  <c r="R127" i="1" s="1"/>
  <c r="P126" i="1"/>
  <c r="Q126" i="1" s="1"/>
  <c r="R126" i="1" s="1"/>
  <c r="P125" i="1"/>
  <c r="Q125" i="1" s="1"/>
  <c r="R125" i="1" s="1"/>
  <c r="P124" i="1"/>
  <c r="Q124" i="1" s="1"/>
  <c r="R124" i="1" s="1"/>
  <c r="P123" i="1"/>
  <c r="Q123" i="1" s="1"/>
  <c r="R123" i="1" s="1"/>
  <c r="P122" i="1"/>
  <c r="Q122" i="1" s="1"/>
  <c r="R122" i="1" s="1"/>
  <c r="P121" i="1"/>
  <c r="Q121" i="1" s="1"/>
  <c r="R121" i="1" s="1"/>
  <c r="P120" i="1"/>
  <c r="Q120" i="1" s="1"/>
  <c r="R120" i="1" s="1"/>
  <c r="P119" i="1"/>
  <c r="Q119" i="1" s="1"/>
  <c r="R119" i="1" s="1"/>
  <c r="P118" i="1"/>
  <c r="Q118" i="1" s="1"/>
  <c r="R118" i="1" s="1"/>
  <c r="P117" i="1"/>
  <c r="Q117" i="1" s="1"/>
  <c r="R117" i="1" s="1"/>
  <c r="P116" i="1"/>
  <c r="Q116" i="1" s="1"/>
  <c r="R116" i="1" s="1"/>
  <c r="P115" i="1"/>
  <c r="Q115" i="1" s="1"/>
  <c r="R115" i="1" s="1"/>
  <c r="P114" i="1"/>
  <c r="Q114" i="1" s="1"/>
  <c r="R114" i="1" s="1"/>
  <c r="P113" i="1"/>
  <c r="Q113" i="1" s="1"/>
  <c r="R113" i="1" s="1"/>
  <c r="P112" i="1"/>
  <c r="Q112" i="1" s="1"/>
  <c r="R112" i="1" s="1"/>
  <c r="P111" i="1"/>
  <c r="Q111" i="1" s="1"/>
  <c r="R111" i="1" s="1"/>
  <c r="P110" i="1"/>
  <c r="Q110" i="1" s="1"/>
  <c r="R110" i="1" s="1"/>
  <c r="P109" i="1"/>
  <c r="Q109" i="1" s="1"/>
  <c r="R109" i="1" s="1"/>
  <c r="P108" i="1"/>
  <c r="Q108" i="1" s="1"/>
  <c r="R108" i="1" s="1"/>
  <c r="P107" i="1"/>
  <c r="Q107" i="1" s="1"/>
  <c r="R107" i="1" s="1"/>
  <c r="P106" i="1"/>
  <c r="Q106" i="1" s="1"/>
  <c r="R106" i="1" s="1"/>
  <c r="P105" i="1"/>
  <c r="Q105" i="1" s="1"/>
  <c r="R105" i="1" s="1"/>
  <c r="P104" i="1"/>
  <c r="Q104" i="1" s="1"/>
  <c r="R104" i="1" s="1"/>
  <c r="P103" i="1"/>
  <c r="Q103" i="1" s="1"/>
  <c r="R103" i="1" s="1"/>
  <c r="P102" i="1"/>
  <c r="Q102" i="1" s="1"/>
  <c r="R102" i="1" s="1"/>
  <c r="P101" i="1"/>
  <c r="Q101" i="1" s="1"/>
  <c r="R101" i="1" s="1"/>
  <c r="P100" i="1"/>
  <c r="Q100" i="1" s="1"/>
  <c r="R100" i="1" s="1"/>
  <c r="P99" i="1"/>
  <c r="Q99" i="1" s="1"/>
  <c r="R99" i="1" s="1"/>
  <c r="P98" i="1"/>
  <c r="Q98" i="1" s="1"/>
  <c r="R98" i="1" s="1"/>
  <c r="P97" i="1"/>
  <c r="Q97" i="1" s="1"/>
  <c r="R97" i="1" s="1"/>
  <c r="P96" i="1"/>
  <c r="Q96" i="1" s="1"/>
  <c r="R96" i="1" s="1"/>
  <c r="P95" i="1"/>
  <c r="Q95" i="1" s="1"/>
  <c r="R95" i="1" s="1"/>
  <c r="P94" i="1"/>
  <c r="Q94" i="1" s="1"/>
  <c r="R94" i="1" s="1"/>
  <c r="P93" i="1"/>
  <c r="Q93" i="1" s="1"/>
  <c r="R93" i="1" s="1"/>
  <c r="P92" i="1"/>
  <c r="Q92" i="1" s="1"/>
  <c r="R92" i="1" s="1"/>
  <c r="P91" i="1"/>
  <c r="Q91" i="1" s="1"/>
  <c r="R91" i="1" s="1"/>
  <c r="P90" i="1"/>
  <c r="Q90" i="1" s="1"/>
  <c r="R90" i="1" s="1"/>
  <c r="P89" i="1"/>
  <c r="Q89" i="1" s="1"/>
  <c r="R89" i="1" s="1"/>
  <c r="P88" i="1"/>
  <c r="Q88" i="1" s="1"/>
  <c r="R88" i="1" s="1"/>
  <c r="P87" i="1"/>
  <c r="Q87" i="1" s="1"/>
  <c r="R87" i="1" s="1"/>
  <c r="P86" i="1"/>
  <c r="Q86" i="1" s="1"/>
  <c r="R86" i="1" s="1"/>
  <c r="P85" i="1"/>
  <c r="Q85" i="1" s="1"/>
  <c r="R85" i="1" s="1"/>
  <c r="P84" i="1"/>
  <c r="Q84" i="1" s="1"/>
  <c r="R84" i="1" s="1"/>
  <c r="P83" i="1"/>
  <c r="Q83" i="1" s="1"/>
  <c r="R83" i="1" s="1"/>
  <c r="P82" i="1"/>
  <c r="Q82" i="1" s="1"/>
  <c r="R82" i="1" s="1"/>
  <c r="P81" i="1"/>
  <c r="Q81" i="1" s="1"/>
  <c r="R81" i="1" s="1"/>
  <c r="P80" i="1"/>
  <c r="Q80" i="1" s="1"/>
  <c r="R80" i="1" s="1"/>
  <c r="P79" i="1"/>
  <c r="Q79" i="1" s="1"/>
  <c r="R79" i="1" s="1"/>
  <c r="P78" i="1"/>
  <c r="Q78" i="1" s="1"/>
  <c r="R78" i="1" s="1"/>
  <c r="P77" i="1"/>
  <c r="Q77" i="1" s="1"/>
  <c r="R77" i="1" s="1"/>
  <c r="P76" i="1"/>
  <c r="Q76" i="1" s="1"/>
  <c r="R76" i="1" s="1"/>
  <c r="P75" i="1"/>
  <c r="Q75" i="1" s="1"/>
  <c r="R75" i="1" s="1"/>
  <c r="P74" i="1"/>
  <c r="Q74" i="1" s="1"/>
  <c r="R74" i="1" s="1"/>
  <c r="P73" i="1"/>
  <c r="Q73" i="1" s="1"/>
  <c r="R73" i="1" s="1"/>
  <c r="P72" i="1"/>
  <c r="Q72" i="1" s="1"/>
  <c r="R72" i="1" s="1"/>
  <c r="P71" i="1"/>
  <c r="Q71" i="1" s="1"/>
  <c r="R71" i="1" s="1"/>
  <c r="P70" i="1"/>
  <c r="Q70" i="1" s="1"/>
  <c r="R70" i="1" s="1"/>
  <c r="P69" i="1"/>
  <c r="Q69" i="1" s="1"/>
  <c r="R69" i="1" s="1"/>
  <c r="P68" i="1"/>
  <c r="Q68" i="1" s="1"/>
  <c r="R68" i="1" s="1"/>
  <c r="P67" i="1"/>
  <c r="Q67" i="1" s="1"/>
  <c r="R67" i="1" s="1"/>
  <c r="P66" i="1"/>
  <c r="Q66" i="1" s="1"/>
  <c r="R66" i="1" s="1"/>
  <c r="P65" i="1"/>
  <c r="Q65" i="1" s="1"/>
  <c r="R65" i="1" s="1"/>
  <c r="P64" i="1"/>
  <c r="Q64" i="1" s="1"/>
  <c r="R64" i="1" s="1"/>
  <c r="P63" i="1"/>
  <c r="Q63" i="1" s="1"/>
  <c r="R63" i="1" s="1"/>
  <c r="P62" i="1"/>
  <c r="Q62" i="1" s="1"/>
  <c r="R62" i="1" s="1"/>
  <c r="P61" i="1"/>
  <c r="Q61" i="1" s="1"/>
  <c r="R61" i="1" s="1"/>
  <c r="P60" i="1"/>
  <c r="Q60" i="1" s="1"/>
  <c r="R60" i="1" s="1"/>
  <c r="P59" i="1"/>
  <c r="Q59" i="1" s="1"/>
  <c r="R59" i="1" s="1"/>
  <c r="P58" i="1"/>
  <c r="Q58" i="1" s="1"/>
  <c r="R58" i="1" s="1"/>
  <c r="P57" i="1"/>
  <c r="Q57" i="1" s="1"/>
  <c r="R57" i="1" s="1"/>
  <c r="P56" i="1"/>
  <c r="Q56" i="1" s="1"/>
  <c r="R56" i="1" s="1"/>
  <c r="P55" i="1"/>
  <c r="Q55" i="1" s="1"/>
  <c r="R55" i="1" s="1"/>
  <c r="P54" i="1"/>
  <c r="Q54" i="1" s="1"/>
  <c r="R54" i="1" s="1"/>
  <c r="P53" i="1"/>
  <c r="Q53" i="1" s="1"/>
  <c r="R53" i="1" s="1"/>
  <c r="P52" i="1"/>
  <c r="Q52" i="1" s="1"/>
  <c r="R52" i="1" s="1"/>
  <c r="P51" i="1"/>
  <c r="Q51" i="1" s="1"/>
  <c r="R51" i="1" s="1"/>
  <c r="P50" i="1"/>
  <c r="Q50" i="1" s="1"/>
  <c r="R50" i="1" s="1"/>
  <c r="P49" i="1"/>
  <c r="Q49" i="1" s="1"/>
  <c r="R49" i="1" s="1"/>
  <c r="P48" i="1"/>
  <c r="Q48" i="1" s="1"/>
  <c r="R48" i="1" s="1"/>
  <c r="P47" i="1"/>
  <c r="Q47" i="1" s="1"/>
  <c r="R47" i="1" s="1"/>
  <c r="P46" i="1"/>
  <c r="Q46" i="1" s="1"/>
  <c r="R46" i="1" s="1"/>
  <c r="P45" i="1"/>
  <c r="Q45" i="1" s="1"/>
  <c r="R45" i="1" s="1"/>
  <c r="P44" i="1"/>
  <c r="Q44" i="1" s="1"/>
  <c r="R44" i="1" s="1"/>
  <c r="P43" i="1"/>
  <c r="Q43" i="1" s="1"/>
  <c r="R43" i="1" s="1"/>
  <c r="P42" i="1"/>
  <c r="Q42" i="1" s="1"/>
  <c r="R42" i="1" s="1"/>
  <c r="P41" i="1"/>
  <c r="Q41" i="1" s="1"/>
  <c r="R41" i="1" s="1"/>
  <c r="P40" i="1"/>
  <c r="Q40" i="1" s="1"/>
  <c r="R40" i="1" s="1"/>
  <c r="P39" i="1"/>
  <c r="Q39" i="1" s="1"/>
  <c r="R39" i="1" s="1"/>
  <c r="P38" i="1"/>
  <c r="Q38" i="1" s="1"/>
  <c r="R38" i="1" s="1"/>
  <c r="P37" i="1"/>
  <c r="Q37" i="1" s="1"/>
  <c r="R37" i="1" s="1"/>
  <c r="P36" i="1"/>
  <c r="Q36" i="1" s="1"/>
  <c r="R36" i="1" s="1"/>
  <c r="P35" i="1"/>
  <c r="Q35" i="1" s="1"/>
  <c r="R35" i="1" s="1"/>
  <c r="P34" i="1"/>
  <c r="Q34" i="1" s="1"/>
  <c r="R34" i="1" s="1"/>
  <c r="P33" i="1"/>
  <c r="Q33" i="1" s="1"/>
  <c r="R33" i="1" s="1"/>
  <c r="P32" i="1"/>
  <c r="Q32" i="1" s="1"/>
  <c r="R32" i="1" s="1"/>
  <c r="P31" i="1"/>
  <c r="Q31" i="1" s="1"/>
  <c r="R31" i="1" s="1"/>
  <c r="P30" i="1"/>
  <c r="Q30" i="1" s="1"/>
  <c r="R30" i="1" s="1"/>
  <c r="P29" i="1"/>
  <c r="Q29" i="1" s="1"/>
  <c r="R29" i="1" s="1"/>
  <c r="P28" i="1"/>
  <c r="Q28" i="1" s="1"/>
  <c r="R28" i="1" s="1"/>
  <c r="P27" i="1"/>
  <c r="Q27" i="1" s="1"/>
  <c r="R27" i="1" s="1"/>
  <c r="P26" i="1"/>
  <c r="Q26" i="1" s="1"/>
  <c r="R26" i="1" s="1"/>
  <c r="P25" i="1"/>
  <c r="Q25" i="1" s="1"/>
  <c r="R25" i="1" s="1"/>
  <c r="P24" i="1"/>
  <c r="Q24" i="1" s="1"/>
  <c r="R24" i="1" s="1"/>
  <c r="P23" i="1"/>
  <c r="Q23" i="1" s="1"/>
  <c r="R23" i="1" s="1"/>
  <c r="P22" i="1"/>
  <c r="Q22" i="1" s="1"/>
  <c r="R22" i="1" s="1"/>
  <c r="P21" i="1"/>
  <c r="Q21" i="1" s="1"/>
  <c r="R21" i="1" s="1"/>
  <c r="P20" i="1"/>
  <c r="Q20" i="1" s="1"/>
  <c r="R20" i="1" s="1"/>
  <c r="P19" i="1"/>
  <c r="Q19" i="1" s="1"/>
  <c r="R19" i="1" s="1"/>
  <c r="P18" i="1"/>
  <c r="Q18" i="1" s="1"/>
  <c r="R18" i="1" s="1"/>
  <c r="P17" i="1"/>
  <c r="Q17" i="1" s="1"/>
  <c r="R17" i="1" s="1"/>
  <c r="P16" i="1"/>
  <c r="Q16" i="1" s="1"/>
  <c r="R16" i="1" s="1"/>
  <c r="P15" i="1"/>
  <c r="Q15" i="1" s="1"/>
  <c r="R15" i="1" s="1"/>
  <c r="P14" i="1"/>
  <c r="Q14" i="1" s="1"/>
  <c r="R14" i="1" s="1"/>
  <c r="P13" i="1"/>
  <c r="Q13" i="1" s="1"/>
  <c r="R13" i="1" s="1"/>
  <c r="P12" i="1"/>
  <c r="Q12" i="1" s="1"/>
  <c r="R12" i="1" s="1"/>
  <c r="P11" i="1"/>
  <c r="Q11" i="1" s="1"/>
  <c r="R11" i="1" s="1"/>
  <c r="P10" i="1"/>
  <c r="Q10" i="1" s="1"/>
  <c r="R10" i="1" s="1"/>
  <c r="P9" i="1"/>
  <c r="Q9" i="1" s="1"/>
  <c r="R9" i="1" s="1"/>
  <c r="P8" i="1"/>
  <c r="Q8" i="1" s="1"/>
  <c r="R8" i="1" s="1"/>
  <c r="P7" i="1"/>
  <c r="Q7" i="1" s="1"/>
  <c r="R7" i="1" s="1"/>
  <c r="P6" i="1"/>
  <c r="Q6" i="1" s="1"/>
  <c r="R6" i="1" s="1"/>
  <c r="P5" i="1"/>
  <c r="Q5" i="1" s="1"/>
  <c r="R5" i="1" s="1"/>
  <c r="P4" i="1"/>
  <c r="Q4" i="1" s="1"/>
  <c r="R4" i="1" s="1"/>
  <c r="P3" i="1"/>
  <c r="Q3" i="1" s="1"/>
  <c r="R3" i="1" s="1"/>
  <c r="P2" i="1"/>
  <c r="Q2" i="1" s="1"/>
  <c r="R2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2" i="1"/>
  <c r="L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2" i="1"/>
  <c r="F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2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B500" i="1"/>
  <c r="E500" i="1" s="1"/>
  <c r="B499" i="1"/>
  <c r="E499" i="1" s="1"/>
  <c r="B498" i="1"/>
  <c r="C498" i="1" s="1"/>
  <c r="B497" i="1"/>
  <c r="B496" i="1"/>
  <c r="B495" i="1"/>
  <c r="C495" i="1" s="1"/>
  <c r="B494" i="1"/>
  <c r="B493" i="1"/>
  <c r="B492" i="1"/>
  <c r="E492" i="1" s="1"/>
  <c r="B491" i="1"/>
  <c r="B490" i="1"/>
  <c r="B489" i="1"/>
  <c r="C489" i="1" s="1"/>
  <c r="B488" i="1"/>
  <c r="B487" i="1"/>
  <c r="B486" i="1"/>
  <c r="C486" i="1" s="1"/>
  <c r="B485" i="1"/>
  <c r="B484" i="1"/>
  <c r="B483" i="1"/>
  <c r="E483" i="1" s="1"/>
  <c r="B482" i="1"/>
  <c r="E482" i="1" s="1"/>
  <c r="B481" i="1"/>
  <c r="B480" i="1"/>
  <c r="D480" i="1" s="1"/>
  <c r="B479" i="1"/>
  <c r="E479" i="1" s="1"/>
  <c r="B478" i="1"/>
  <c r="B477" i="1"/>
  <c r="E477" i="1" s="1"/>
  <c r="B476" i="1"/>
  <c r="E476" i="1" s="1"/>
  <c r="B475" i="1"/>
  <c r="B474" i="1"/>
  <c r="E474" i="1" s="1"/>
  <c r="B473" i="1"/>
  <c r="E473" i="1" s="1"/>
  <c r="B472" i="1"/>
  <c r="B471" i="1"/>
  <c r="E471" i="1" s="1"/>
  <c r="B470" i="1"/>
  <c r="E470" i="1" s="1"/>
  <c r="B469" i="1"/>
  <c r="B468" i="1"/>
  <c r="D468" i="1" s="1"/>
  <c r="B467" i="1"/>
  <c r="E467" i="1" s="1"/>
  <c r="B466" i="1"/>
  <c r="B465" i="1"/>
  <c r="E465" i="1" s="1"/>
  <c r="B464" i="1"/>
  <c r="E464" i="1" s="1"/>
  <c r="B463" i="1"/>
  <c r="B462" i="1"/>
  <c r="E462" i="1" s="1"/>
  <c r="B461" i="1"/>
  <c r="E461" i="1" s="1"/>
  <c r="B460" i="1"/>
  <c r="B459" i="1"/>
  <c r="E459" i="1" s="1"/>
  <c r="B458" i="1"/>
  <c r="E458" i="1" s="1"/>
  <c r="B457" i="1"/>
  <c r="B456" i="1"/>
  <c r="D456" i="1" s="1"/>
  <c r="B455" i="1"/>
  <c r="E455" i="1" s="1"/>
  <c r="B454" i="1"/>
  <c r="B453" i="1"/>
  <c r="E453" i="1" s="1"/>
  <c r="B452" i="1"/>
  <c r="E452" i="1" s="1"/>
  <c r="B451" i="1"/>
  <c r="B450" i="1"/>
  <c r="E450" i="1" s="1"/>
  <c r="B449" i="1"/>
  <c r="E449" i="1" s="1"/>
  <c r="B448" i="1"/>
  <c r="B447" i="1"/>
  <c r="E447" i="1" s="1"/>
  <c r="B446" i="1"/>
  <c r="E446" i="1" s="1"/>
  <c r="B445" i="1"/>
  <c r="B444" i="1"/>
  <c r="D444" i="1" s="1"/>
  <c r="B443" i="1"/>
  <c r="E443" i="1" s="1"/>
  <c r="B442" i="1"/>
  <c r="B441" i="1"/>
  <c r="E441" i="1" s="1"/>
  <c r="B440" i="1"/>
  <c r="E440" i="1" s="1"/>
  <c r="B439" i="1"/>
  <c r="B438" i="1"/>
  <c r="E438" i="1" s="1"/>
  <c r="B437" i="1"/>
  <c r="B436" i="1"/>
  <c r="B435" i="1"/>
  <c r="E435" i="1" s="1"/>
  <c r="B434" i="1"/>
  <c r="E434" i="1" s="1"/>
  <c r="B433" i="1"/>
  <c r="B432" i="1"/>
  <c r="D432" i="1" s="1"/>
  <c r="B431" i="1"/>
  <c r="E431" i="1" s="1"/>
  <c r="B430" i="1"/>
  <c r="B429" i="1"/>
  <c r="B428" i="1"/>
  <c r="E428" i="1" s="1"/>
  <c r="B427" i="1"/>
  <c r="D427" i="1" s="1"/>
  <c r="B426" i="1"/>
  <c r="E426" i="1" s="1"/>
  <c r="B425" i="1"/>
  <c r="E425" i="1" s="1"/>
  <c r="B424" i="1"/>
  <c r="D424" i="1" s="1"/>
  <c r="B423" i="1"/>
  <c r="B422" i="1"/>
  <c r="E422" i="1" s="1"/>
  <c r="B421" i="1"/>
  <c r="D421" i="1" s="1"/>
  <c r="B420" i="1"/>
  <c r="E420" i="1" s="1"/>
  <c r="B419" i="1"/>
  <c r="E419" i="1" s="1"/>
  <c r="B418" i="1"/>
  <c r="B417" i="1"/>
  <c r="E417" i="1" s="1"/>
  <c r="B416" i="1"/>
  <c r="E416" i="1" s="1"/>
  <c r="B415" i="1"/>
  <c r="D415" i="1" s="1"/>
  <c r="B414" i="1"/>
  <c r="D414" i="1" s="1"/>
  <c r="B413" i="1"/>
  <c r="E413" i="1" s="1"/>
  <c r="B412" i="1"/>
  <c r="B411" i="1"/>
  <c r="E411" i="1" s="1"/>
  <c r="B410" i="1"/>
  <c r="E410" i="1" s="1"/>
  <c r="B409" i="1"/>
  <c r="D409" i="1" s="1"/>
  <c r="B408" i="1"/>
  <c r="E408" i="1" s="1"/>
  <c r="B407" i="1"/>
  <c r="E407" i="1" s="1"/>
  <c r="B406" i="1"/>
  <c r="D406" i="1" s="1"/>
  <c r="B405" i="1"/>
  <c r="D405" i="1" s="1"/>
  <c r="B404" i="1"/>
  <c r="E404" i="1" s="1"/>
  <c r="B403" i="1"/>
  <c r="D403" i="1" s="1"/>
  <c r="B402" i="1"/>
  <c r="B401" i="1"/>
  <c r="B400" i="1"/>
  <c r="B399" i="1"/>
  <c r="D399" i="1" s="1"/>
  <c r="B398" i="1"/>
  <c r="E398" i="1" s="1"/>
  <c r="B397" i="1"/>
  <c r="D397" i="1" s="1"/>
  <c r="B396" i="1"/>
  <c r="E396" i="1" s="1"/>
  <c r="B395" i="1"/>
  <c r="E395" i="1" s="1"/>
  <c r="B394" i="1"/>
  <c r="B393" i="1"/>
  <c r="E393" i="1" s="1"/>
  <c r="B392" i="1"/>
  <c r="B391" i="1"/>
  <c r="B390" i="1"/>
  <c r="E390" i="1" s="1"/>
  <c r="B389" i="1"/>
  <c r="E389" i="1" s="1"/>
  <c r="B388" i="1"/>
  <c r="D388" i="1" s="1"/>
  <c r="B387" i="1"/>
  <c r="D387" i="1" s="1"/>
  <c r="B386" i="1"/>
  <c r="D386" i="1" s="1"/>
  <c r="B385" i="1"/>
  <c r="D385" i="1" s="1"/>
  <c r="B384" i="1"/>
  <c r="B383" i="1"/>
  <c r="B382" i="1"/>
  <c r="C382" i="1" s="1"/>
  <c r="B381" i="1"/>
  <c r="D381" i="1" s="1"/>
  <c r="B380" i="1"/>
  <c r="E380" i="1" s="1"/>
  <c r="B379" i="1"/>
  <c r="D379" i="1" s="1"/>
  <c r="B378" i="1"/>
  <c r="E378" i="1" s="1"/>
  <c r="B377" i="1"/>
  <c r="E377" i="1" s="1"/>
  <c r="B376" i="1"/>
  <c r="B375" i="1"/>
  <c r="D375" i="1" s="1"/>
  <c r="B374" i="1"/>
  <c r="B373" i="1"/>
  <c r="B372" i="1"/>
  <c r="E372" i="1" s="1"/>
  <c r="B371" i="1"/>
  <c r="E371" i="1" s="1"/>
  <c r="B370" i="1"/>
  <c r="D370" i="1" s="1"/>
  <c r="B369" i="1"/>
  <c r="B368" i="1"/>
  <c r="B367" i="1"/>
  <c r="D367" i="1" s="1"/>
  <c r="B366" i="1"/>
  <c r="E366" i="1" s="1"/>
  <c r="B365" i="1"/>
  <c r="B364" i="1"/>
  <c r="C364" i="1" s="1"/>
  <c r="B363" i="1"/>
  <c r="D363" i="1" s="1"/>
  <c r="B362" i="1"/>
  <c r="E362" i="1" s="1"/>
  <c r="B361" i="1"/>
  <c r="D361" i="1" s="1"/>
  <c r="B360" i="1"/>
  <c r="C360" i="1" s="1"/>
  <c r="B359" i="1"/>
  <c r="E359" i="1" s="1"/>
  <c r="B358" i="1"/>
  <c r="E358" i="1" s="1"/>
  <c r="B357" i="1"/>
  <c r="D357" i="1" s="1"/>
  <c r="B356" i="1"/>
  <c r="B355" i="1"/>
  <c r="B354" i="1"/>
  <c r="E354" i="1" s="1"/>
  <c r="B353" i="1"/>
  <c r="E353" i="1" s="1"/>
  <c r="B352" i="1"/>
  <c r="D352" i="1" s="1"/>
  <c r="B351" i="1"/>
  <c r="C351" i="1" s="1"/>
  <c r="B350" i="1"/>
  <c r="D350" i="1" s="1"/>
  <c r="B349" i="1"/>
  <c r="D349" i="1" s="1"/>
  <c r="B348" i="1"/>
  <c r="D348" i="1" s="1"/>
  <c r="B347" i="1"/>
  <c r="B346" i="1"/>
  <c r="C346" i="1" s="1"/>
  <c r="B345" i="1"/>
  <c r="D345" i="1" s="1"/>
  <c r="B344" i="1"/>
  <c r="E344" i="1" s="1"/>
  <c r="B343" i="1"/>
  <c r="D343" i="1" s="1"/>
  <c r="B342" i="1"/>
  <c r="E342" i="1" s="1"/>
  <c r="B341" i="1"/>
  <c r="D341" i="1" s="1"/>
  <c r="B340" i="1"/>
  <c r="E340" i="1" s="1"/>
  <c r="B339" i="1"/>
  <c r="D339" i="1" s="1"/>
  <c r="B338" i="1"/>
  <c r="B337" i="1"/>
  <c r="E337" i="1" s="1"/>
  <c r="B336" i="1"/>
  <c r="C336" i="1" s="1"/>
  <c r="B335" i="1"/>
  <c r="E335" i="1" s="1"/>
  <c r="B334" i="1"/>
  <c r="D334" i="1" s="1"/>
  <c r="B333" i="1"/>
  <c r="E333" i="1" s="1"/>
  <c r="B332" i="1"/>
  <c r="E332" i="1" s="1"/>
  <c r="B331" i="1"/>
  <c r="B330" i="1"/>
  <c r="D330" i="1" s="1"/>
  <c r="B329" i="1"/>
  <c r="C329" i="1" s="1"/>
  <c r="B328" i="1"/>
  <c r="D328" i="1" s="1"/>
  <c r="B327" i="1"/>
  <c r="B326" i="1"/>
  <c r="D326" i="1" s="1"/>
  <c r="B325" i="1"/>
  <c r="C325" i="1" s="1"/>
  <c r="B324" i="1"/>
  <c r="E324" i="1" s="1"/>
  <c r="B323" i="1"/>
  <c r="E323" i="1" s="1"/>
  <c r="B322" i="1"/>
  <c r="E322" i="1" s="1"/>
  <c r="B321" i="1"/>
  <c r="D321" i="1" s="1"/>
  <c r="B320" i="1"/>
  <c r="C320" i="1" s="1"/>
  <c r="B319" i="1"/>
  <c r="B318" i="1"/>
  <c r="D318" i="1" s="1"/>
  <c r="B317" i="1"/>
  <c r="D317" i="1" s="1"/>
  <c r="B316" i="1"/>
  <c r="E316" i="1" s="1"/>
  <c r="B315" i="1"/>
  <c r="D315" i="1" s="1"/>
  <c r="B314" i="1"/>
  <c r="E314" i="1" s="1"/>
  <c r="B313" i="1"/>
  <c r="D313" i="1" s="1"/>
  <c r="B312" i="1"/>
  <c r="C312" i="1" s="1"/>
  <c r="B311" i="1"/>
  <c r="B310" i="1"/>
  <c r="E310" i="1" s="1"/>
  <c r="B309" i="1"/>
  <c r="D309" i="1" s="1"/>
  <c r="B308" i="1"/>
  <c r="D308" i="1" s="1"/>
  <c r="B307" i="1"/>
  <c r="B306" i="1"/>
  <c r="C306" i="1" s="1"/>
  <c r="B305" i="1"/>
  <c r="E305" i="1" s="1"/>
  <c r="B304" i="1"/>
  <c r="C304" i="1" s="1"/>
  <c r="B303" i="1"/>
  <c r="B302" i="1"/>
  <c r="D302" i="1" s="1"/>
  <c r="B301" i="1"/>
  <c r="E301" i="1" s="1"/>
  <c r="B300" i="1"/>
  <c r="D300" i="1" s="1"/>
  <c r="B299" i="1"/>
  <c r="E299" i="1" s="1"/>
  <c r="B298" i="1"/>
  <c r="E298" i="1" s="1"/>
  <c r="B297" i="1"/>
  <c r="E297" i="1" s="1"/>
  <c r="B296" i="1"/>
  <c r="B295" i="1"/>
  <c r="E295" i="1" s="1"/>
  <c r="B294" i="1"/>
  <c r="D294" i="1" s="1"/>
  <c r="B293" i="1"/>
  <c r="E293" i="1" s="1"/>
  <c r="B292" i="1"/>
  <c r="B291" i="1"/>
  <c r="C291" i="1" s="1"/>
  <c r="B290" i="1"/>
  <c r="E290" i="1" s="1"/>
  <c r="B289" i="1"/>
  <c r="C289" i="1" s="1"/>
  <c r="B288" i="1"/>
  <c r="E288" i="1" s="1"/>
  <c r="B287" i="1"/>
  <c r="B286" i="1"/>
  <c r="E286" i="1" s="1"/>
  <c r="B285" i="1"/>
  <c r="B284" i="1"/>
  <c r="C284" i="1" s="1"/>
  <c r="B283" i="1"/>
  <c r="E283" i="1" s="1"/>
  <c r="B282" i="1"/>
  <c r="E282" i="1" s="1"/>
  <c r="B281" i="1"/>
  <c r="D281" i="1" s="1"/>
  <c r="B280" i="1"/>
  <c r="E280" i="1" s="1"/>
  <c r="B279" i="1"/>
  <c r="D279" i="1" s="1"/>
  <c r="B278" i="1"/>
  <c r="E278" i="1" s="1"/>
  <c r="B277" i="1"/>
  <c r="D277" i="1" s="1"/>
  <c r="B276" i="1"/>
  <c r="B275" i="1"/>
  <c r="E275" i="1" s="1"/>
  <c r="B274" i="1"/>
  <c r="B273" i="1"/>
  <c r="C273" i="1" s="1"/>
  <c r="B272" i="1"/>
  <c r="E272" i="1" s="1"/>
  <c r="B271" i="1"/>
  <c r="D271" i="1" s="1"/>
  <c r="B270" i="1"/>
  <c r="B269" i="1"/>
  <c r="C269" i="1" s="1"/>
  <c r="B268" i="1"/>
  <c r="C268" i="1" s="1"/>
  <c r="B267" i="1"/>
  <c r="E267" i="1" s="1"/>
  <c r="B266" i="1"/>
  <c r="D266" i="1" s="1"/>
  <c r="B265" i="1"/>
  <c r="E265" i="1" s="1"/>
  <c r="B264" i="1"/>
  <c r="D264" i="1" s="1"/>
  <c r="B263" i="1"/>
  <c r="E263" i="1" s="1"/>
  <c r="B262" i="1"/>
  <c r="E262" i="1" s="1"/>
  <c r="B261" i="1"/>
  <c r="E261" i="1" s="1"/>
  <c r="B260" i="1"/>
  <c r="E260" i="1" s="1"/>
  <c r="B259" i="1"/>
  <c r="E259" i="1" s="1"/>
  <c r="B258" i="1"/>
  <c r="D258" i="1" s="1"/>
  <c r="B257" i="1"/>
  <c r="E257" i="1" s="1"/>
  <c r="B256" i="1"/>
  <c r="D256" i="1" s="1"/>
  <c r="B255" i="1"/>
  <c r="C255" i="1" s="1"/>
  <c r="B254" i="1"/>
  <c r="E254" i="1" s="1"/>
  <c r="B253" i="1"/>
  <c r="C253" i="1" s="1"/>
  <c r="B252" i="1"/>
  <c r="C252" i="1" s="1"/>
  <c r="B251" i="1"/>
  <c r="B250" i="1"/>
  <c r="E250" i="1" s="1"/>
  <c r="B249" i="1"/>
  <c r="E249" i="1" s="1"/>
  <c r="B248" i="1"/>
  <c r="B247" i="1"/>
  <c r="E247" i="1" s="1"/>
  <c r="B246" i="1"/>
  <c r="E246" i="1" s="1"/>
  <c r="B245" i="1"/>
  <c r="D245" i="1" s="1"/>
  <c r="B244" i="1"/>
  <c r="B243" i="1"/>
  <c r="E243" i="1" s="1"/>
  <c r="B242" i="1"/>
  <c r="D242" i="1" s="1"/>
  <c r="B241" i="1"/>
  <c r="C241" i="1" s="1"/>
  <c r="B240" i="1"/>
  <c r="C240" i="1" s="1"/>
  <c r="B239" i="1"/>
  <c r="E239" i="1" s="1"/>
  <c r="B238" i="1"/>
  <c r="C238" i="1" s="1"/>
  <c r="B237" i="1"/>
  <c r="E237" i="1" s="1"/>
  <c r="B236" i="1"/>
  <c r="D236" i="1" s="1"/>
  <c r="B235" i="1"/>
  <c r="E235" i="1" s="1"/>
  <c r="B234" i="1"/>
  <c r="E234" i="1" s="1"/>
  <c r="B233" i="1"/>
  <c r="B232" i="1"/>
  <c r="C232" i="1" s="1"/>
  <c r="B231" i="1"/>
  <c r="B230" i="1"/>
  <c r="E230" i="1" s="1"/>
  <c r="B229" i="1"/>
  <c r="E229" i="1" s="1"/>
  <c r="B228" i="1"/>
  <c r="E228" i="1" s="1"/>
  <c r="B227" i="1"/>
  <c r="B226" i="1"/>
  <c r="D226" i="1" s="1"/>
  <c r="B225" i="1"/>
  <c r="E225" i="1" s="1"/>
  <c r="B224" i="1"/>
  <c r="D224" i="1" s="1"/>
  <c r="B223" i="1"/>
  <c r="C223" i="1" s="1"/>
  <c r="B222" i="1"/>
  <c r="B221" i="1"/>
  <c r="B220" i="1"/>
  <c r="D220" i="1" s="1"/>
  <c r="B219" i="1"/>
  <c r="D219" i="1" s="1"/>
  <c r="B218" i="1"/>
  <c r="D218" i="1" s="1"/>
  <c r="B217" i="1"/>
  <c r="C217" i="1" s="1"/>
  <c r="B216" i="1"/>
  <c r="D216" i="1" s="1"/>
  <c r="B215" i="1"/>
  <c r="D215" i="1" s="1"/>
  <c r="B214" i="1"/>
  <c r="E214" i="1" s="1"/>
  <c r="B213" i="1"/>
  <c r="C213" i="1" s="1"/>
  <c r="B212" i="1"/>
  <c r="B211" i="1"/>
  <c r="D211" i="1" s="1"/>
  <c r="B210" i="1"/>
  <c r="E210" i="1" s="1"/>
  <c r="B209" i="1"/>
  <c r="B208" i="1"/>
  <c r="C208" i="1" s="1"/>
  <c r="B207" i="1"/>
  <c r="D207" i="1" s="1"/>
  <c r="B206" i="1"/>
  <c r="D206" i="1" s="1"/>
  <c r="B205" i="1"/>
  <c r="C205" i="1" s="1"/>
  <c r="B204" i="1"/>
  <c r="C204" i="1" s="1"/>
  <c r="B203" i="1"/>
  <c r="E203" i="1" s="1"/>
  <c r="B202" i="1"/>
  <c r="E202" i="1" s="1"/>
  <c r="B201" i="1"/>
  <c r="E201" i="1" s="1"/>
  <c r="B200" i="1"/>
  <c r="D200" i="1" s="1"/>
  <c r="B199" i="1"/>
  <c r="D199" i="1" s="1"/>
  <c r="B198" i="1"/>
  <c r="D198" i="1" s="1"/>
  <c r="B197" i="1"/>
  <c r="C197" i="1" s="1"/>
  <c r="B196" i="1"/>
  <c r="B195" i="1"/>
  <c r="C195" i="1" s="1"/>
  <c r="B194" i="1"/>
  <c r="E194" i="1" s="1"/>
  <c r="B193" i="1"/>
  <c r="D193" i="1" s="1"/>
  <c r="B192" i="1"/>
  <c r="D192" i="1" s="1"/>
  <c r="B191" i="1"/>
  <c r="D191" i="1" s="1"/>
  <c r="B190" i="1"/>
  <c r="C190" i="1" s="1"/>
  <c r="B189" i="1"/>
  <c r="E189" i="1" s="1"/>
  <c r="B188" i="1"/>
  <c r="B187" i="1"/>
  <c r="E187" i="1" s="1"/>
  <c r="B186" i="1"/>
  <c r="D186" i="1" s="1"/>
  <c r="B185" i="1"/>
  <c r="B184" i="1"/>
  <c r="D184" i="1" s="1"/>
  <c r="B183" i="1"/>
  <c r="B182" i="1"/>
  <c r="D182" i="1" s="1"/>
  <c r="B181" i="1"/>
  <c r="C181" i="1" s="1"/>
  <c r="B180" i="1"/>
  <c r="D180" i="1" s="1"/>
  <c r="B179" i="1"/>
  <c r="D179" i="1" s="1"/>
  <c r="B178" i="1"/>
  <c r="E178" i="1" s="1"/>
  <c r="B177" i="1"/>
  <c r="C177" i="1" s="1"/>
  <c r="B176" i="1"/>
  <c r="C176" i="1" s="1"/>
  <c r="B175" i="1"/>
  <c r="D175" i="1" s="1"/>
  <c r="B174" i="1"/>
  <c r="E174" i="1" s="1"/>
  <c r="B173" i="1"/>
  <c r="B172" i="1"/>
  <c r="C172" i="1" s="1"/>
  <c r="B171" i="1"/>
  <c r="D171" i="1" s="1"/>
  <c r="B170" i="1"/>
  <c r="D170" i="1" s="1"/>
  <c r="B169" i="1"/>
  <c r="E169" i="1" s="1"/>
  <c r="B168" i="1"/>
  <c r="C168" i="1" s="1"/>
  <c r="B167" i="1"/>
  <c r="E167" i="1" s="1"/>
  <c r="B166" i="1"/>
  <c r="E166" i="1" s="1"/>
  <c r="B165" i="1"/>
  <c r="E165" i="1" s="1"/>
  <c r="B164" i="1"/>
  <c r="D164" i="1" s="1"/>
  <c r="B163" i="1"/>
  <c r="C163" i="1" s="1"/>
  <c r="B162" i="1"/>
  <c r="D162" i="1" s="1"/>
  <c r="B161" i="1"/>
  <c r="E161" i="1" s="1"/>
  <c r="B160" i="1"/>
  <c r="E160" i="1" s="1"/>
  <c r="B159" i="1"/>
  <c r="D159" i="1" s="1"/>
  <c r="B158" i="1"/>
  <c r="E158" i="1" s="1"/>
  <c r="B157" i="1"/>
  <c r="C157" i="1" s="1"/>
  <c r="B156" i="1"/>
  <c r="D156" i="1" s="1"/>
  <c r="B155" i="1"/>
  <c r="E155" i="1" s="1"/>
  <c r="B154" i="1"/>
  <c r="E154" i="1" s="1"/>
  <c r="B153" i="1"/>
  <c r="D153" i="1" s="1"/>
  <c r="B152" i="1"/>
  <c r="E152" i="1" s="1"/>
  <c r="B151" i="1"/>
  <c r="E151" i="1" s="1"/>
  <c r="B150" i="1"/>
  <c r="D150" i="1" s="1"/>
  <c r="B149" i="1"/>
  <c r="E149" i="1" s="1"/>
  <c r="B148" i="1"/>
  <c r="E148" i="1" s="1"/>
  <c r="B147" i="1"/>
  <c r="D147" i="1" s="1"/>
  <c r="B146" i="1"/>
  <c r="E146" i="1" s="1"/>
  <c r="B145" i="1"/>
  <c r="C145" i="1" s="1"/>
  <c r="B144" i="1"/>
  <c r="D144" i="1" s="1"/>
  <c r="B143" i="1"/>
  <c r="E143" i="1" s="1"/>
  <c r="B142" i="1"/>
  <c r="C142" i="1" s="1"/>
  <c r="B141" i="1"/>
  <c r="D141" i="1" s="1"/>
  <c r="B140" i="1"/>
  <c r="E140" i="1" s="1"/>
  <c r="B139" i="1"/>
  <c r="C139" i="1" s="1"/>
  <c r="B138" i="1"/>
  <c r="D138" i="1" s="1"/>
  <c r="B137" i="1"/>
  <c r="E137" i="1" s="1"/>
  <c r="B136" i="1"/>
  <c r="E136" i="1" s="1"/>
  <c r="B135" i="1"/>
  <c r="D135" i="1" s="1"/>
  <c r="B134" i="1"/>
  <c r="E134" i="1" s="1"/>
  <c r="B133" i="1"/>
  <c r="E133" i="1" s="1"/>
  <c r="B132" i="1"/>
  <c r="D132" i="1" s="1"/>
  <c r="B131" i="1"/>
  <c r="E131" i="1" s="1"/>
  <c r="B130" i="1"/>
  <c r="E130" i="1" s="1"/>
  <c r="B129" i="1"/>
  <c r="D129" i="1" s="1"/>
  <c r="B128" i="1"/>
  <c r="E128" i="1" s="1"/>
  <c r="B127" i="1"/>
  <c r="C127" i="1" s="1"/>
  <c r="B126" i="1"/>
  <c r="D126" i="1" s="1"/>
  <c r="B125" i="1"/>
  <c r="E125" i="1" s="1"/>
  <c r="B124" i="1"/>
  <c r="D124" i="1" s="1"/>
  <c r="B123" i="1"/>
  <c r="D123" i="1" s="1"/>
  <c r="B122" i="1"/>
  <c r="E122" i="1" s="1"/>
  <c r="B121" i="1"/>
  <c r="C121" i="1" s="1"/>
  <c r="B120" i="1"/>
  <c r="D120" i="1" s="1"/>
  <c r="B119" i="1"/>
  <c r="E119" i="1" s="1"/>
  <c r="B118" i="1"/>
  <c r="E118" i="1" s="1"/>
  <c r="B117" i="1"/>
  <c r="D117" i="1" s="1"/>
  <c r="B116" i="1"/>
  <c r="E116" i="1" s="1"/>
  <c r="B115" i="1"/>
  <c r="E115" i="1" s="1"/>
  <c r="B114" i="1"/>
  <c r="D114" i="1" s="1"/>
  <c r="B113" i="1"/>
  <c r="E113" i="1" s="1"/>
  <c r="B112" i="1"/>
  <c r="E112" i="1" s="1"/>
  <c r="B111" i="1"/>
  <c r="D111" i="1" s="1"/>
  <c r="B110" i="1"/>
  <c r="E110" i="1" s="1"/>
  <c r="B109" i="1"/>
  <c r="C109" i="1" s="1"/>
  <c r="B108" i="1"/>
  <c r="D108" i="1" s="1"/>
  <c r="B107" i="1"/>
  <c r="E107" i="1" s="1"/>
  <c r="B106" i="1"/>
  <c r="E106" i="1" s="1"/>
  <c r="B105" i="1"/>
  <c r="D105" i="1" s="1"/>
  <c r="B104" i="1"/>
  <c r="E104" i="1" s="1"/>
  <c r="B103" i="1"/>
  <c r="C103" i="1" s="1"/>
  <c r="B102" i="1"/>
  <c r="D102" i="1" s="1"/>
  <c r="B101" i="1"/>
  <c r="E101" i="1" s="1"/>
  <c r="B100" i="1"/>
  <c r="E100" i="1" s="1"/>
  <c r="B99" i="1"/>
  <c r="D99" i="1" s="1"/>
  <c r="B98" i="1"/>
  <c r="E98" i="1" s="1"/>
  <c r="B97" i="1"/>
  <c r="E97" i="1" s="1"/>
  <c r="B96" i="1"/>
  <c r="D96" i="1" s="1"/>
  <c r="B95" i="1"/>
  <c r="E95" i="1" s="1"/>
  <c r="B94" i="1"/>
  <c r="E94" i="1" s="1"/>
  <c r="B93" i="1"/>
  <c r="D93" i="1" s="1"/>
  <c r="B92" i="1"/>
  <c r="E92" i="1" s="1"/>
  <c r="B91" i="1"/>
  <c r="C91" i="1" s="1"/>
  <c r="B90" i="1"/>
  <c r="D90" i="1" s="1"/>
  <c r="B89" i="1"/>
  <c r="E89" i="1" s="1"/>
  <c r="B88" i="1"/>
  <c r="D88" i="1" s="1"/>
  <c r="B87" i="1"/>
  <c r="D87" i="1" s="1"/>
  <c r="B86" i="1"/>
  <c r="E86" i="1" s="1"/>
  <c r="B85" i="1"/>
  <c r="C85" i="1" s="1"/>
  <c r="B84" i="1"/>
  <c r="D84" i="1" s="1"/>
  <c r="B83" i="1"/>
  <c r="E83" i="1" s="1"/>
  <c r="B82" i="1"/>
  <c r="E82" i="1" s="1"/>
  <c r="B81" i="1"/>
  <c r="D81" i="1" s="1"/>
  <c r="B80" i="1"/>
  <c r="E80" i="1" s="1"/>
  <c r="B79" i="1"/>
  <c r="E79" i="1" s="1"/>
  <c r="B78" i="1"/>
  <c r="D78" i="1" s="1"/>
  <c r="B77" i="1"/>
  <c r="E77" i="1" s="1"/>
  <c r="B76" i="1"/>
  <c r="E76" i="1" s="1"/>
  <c r="B75" i="1"/>
  <c r="D75" i="1" s="1"/>
  <c r="B74" i="1"/>
  <c r="E74" i="1" s="1"/>
  <c r="B73" i="1"/>
  <c r="C73" i="1" s="1"/>
  <c r="B72" i="1"/>
  <c r="D72" i="1" s="1"/>
  <c r="B71" i="1"/>
  <c r="E71" i="1" s="1"/>
  <c r="B70" i="1"/>
  <c r="E70" i="1" s="1"/>
  <c r="B69" i="1"/>
  <c r="D69" i="1" s="1"/>
  <c r="B68" i="1"/>
  <c r="E68" i="1" s="1"/>
  <c r="B67" i="1"/>
  <c r="C67" i="1" s="1"/>
  <c r="B66" i="1"/>
  <c r="D66" i="1" s="1"/>
  <c r="B65" i="1"/>
  <c r="E65" i="1" s="1"/>
  <c r="B64" i="1"/>
  <c r="E64" i="1" s="1"/>
  <c r="B63" i="1"/>
  <c r="D63" i="1" s="1"/>
  <c r="B62" i="1"/>
  <c r="E62" i="1" s="1"/>
  <c r="B61" i="1"/>
  <c r="E61" i="1" s="1"/>
  <c r="B60" i="1"/>
  <c r="D60" i="1" s="1"/>
  <c r="B59" i="1"/>
  <c r="E59" i="1" s="1"/>
  <c r="B58" i="1"/>
  <c r="E58" i="1" s="1"/>
  <c r="B57" i="1"/>
  <c r="D57" i="1" s="1"/>
  <c r="B56" i="1"/>
  <c r="E56" i="1" s="1"/>
  <c r="B55" i="1"/>
  <c r="C55" i="1" s="1"/>
  <c r="B54" i="1"/>
  <c r="D54" i="1" s="1"/>
  <c r="B53" i="1"/>
  <c r="E53" i="1" s="1"/>
  <c r="B52" i="1"/>
  <c r="E52" i="1" s="1"/>
  <c r="B51" i="1"/>
  <c r="D51" i="1" s="1"/>
  <c r="B50" i="1"/>
  <c r="E50" i="1" s="1"/>
  <c r="B49" i="1"/>
  <c r="C49" i="1" s="1"/>
  <c r="B48" i="1"/>
  <c r="D48" i="1" s="1"/>
  <c r="B47" i="1"/>
  <c r="E47" i="1" s="1"/>
  <c r="B46" i="1"/>
  <c r="D46" i="1" s="1"/>
  <c r="B45" i="1"/>
  <c r="D45" i="1" s="1"/>
  <c r="B44" i="1"/>
  <c r="E44" i="1" s="1"/>
  <c r="B43" i="1"/>
  <c r="E43" i="1" s="1"/>
  <c r="B42" i="1"/>
  <c r="D42" i="1" s="1"/>
  <c r="B41" i="1"/>
  <c r="E41" i="1" s="1"/>
  <c r="B40" i="1"/>
  <c r="E40" i="1" s="1"/>
  <c r="B39" i="1"/>
  <c r="D39" i="1" s="1"/>
  <c r="B38" i="1"/>
  <c r="E38" i="1" s="1"/>
  <c r="B37" i="1"/>
  <c r="C37" i="1" s="1"/>
  <c r="B36" i="1"/>
  <c r="D36" i="1" s="1"/>
  <c r="B35" i="1"/>
  <c r="E35" i="1" s="1"/>
  <c r="B34" i="1"/>
  <c r="C34" i="1" s="1"/>
  <c r="B33" i="1"/>
  <c r="D33" i="1" s="1"/>
  <c r="B32" i="1"/>
  <c r="E32" i="1" s="1"/>
  <c r="B31" i="1"/>
  <c r="C31" i="1" s="1"/>
  <c r="B30" i="1"/>
  <c r="D30" i="1" s="1"/>
  <c r="B29" i="1"/>
  <c r="E29" i="1" s="1"/>
  <c r="B28" i="1"/>
  <c r="C28" i="1" s="1"/>
  <c r="B27" i="1"/>
  <c r="D27" i="1" s="1"/>
  <c r="B26" i="1"/>
  <c r="E26" i="1" s="1"/>
  <c r="B25" i="1"/>
  <c r="E25" i="1" s="1"/>
  <c r="B24" i="1"/>
  <c r="D24" i="1" s="1"/>
  <c r="B23" i="1"/>
  <c r="E23" i="1" s="1"/>
  <c r="B22" i="1"/>
  <c r="E22" i="1" s="1"/>
  <c r="B21" i="1"/>
  <c r="D21" i="1" s="1"/>
  <c r="B20" i="1"/>
  <c r="E20" i="1" s="1"/>
  <c r="B19" i="1"/>
  <c r="C19" i="1" s="1"/>
  <c r="B18" i="1"/>
  <c r="D18" i="1" s="1"/>
  <c r="B17" i="1"/>
  <c r="E17" i="1" s="1"/>
  <c r="B16" i="1"/>
  <c r="E16" i="1" s="1"/>
  <c r="B15" i="1"/>
  <c r="D15" i="1" s="1"/>
  <c r="B14" i="1"/>
  <c r="E14" i="1" s="1"/>
  <c r="B13" i="1"/>
  <c r="C13" i="1" s="1"/>
  <c r="B12" i="1"/>
  <c r="D12" i="1" s="1"/>
  <c r="B11" i="1"/>
  <c r="E11" i="1" s="1"/>
  <c r="B10" i="1"/>
  <c r="E10" i="1" s="1"/>
  <c r="B9" i="1"/>
  <c r="D9" i="1" s="1"/>
  <c r="B8" i="1"/>
  <c r="E8" i="1" s="1"/>
  <c r="B7" i="1"/>
  <c r="E7" i="1" s="1"/>
  <c r="B6" i="1"/>
  <c r="D6" i="1" s="1"/>
  <c r="B5" i="1"/>
  <c r="E5" i="1" s="1"/>
  <c r="B4" i="1"/>
  <c r="E4" i="1" s="1"/>
  <c r="B3" i="1"/>
  <c r="D3" i="1" s="1"/>
  <c r="B2" i="1"/>
  <c r="D2" i="1" s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M85" i="1" l="1"/>
  <c r="M133" i="1"/>
  <c r="M121" i="1"/>
  <c r="M109" i="1"/>
  <c r="M97" i="1"/>
  <c r="M229" i="1"/>
  <c r="M217" i="1"/>
  <c r="M73" i="1"/>
  <c r="M205" i="1"/>
  <c r="M61" i="1"/>
  <c r="M193" i="1"/>
  <c r="M49" i="1"/>
  <c r="M181" i="1"/>
  <c r="M37" i="1"/>
  <c r="M169" i="1"/>
  <c r="M25" i="1"/>
  <c r="M157" i="1"/>
  <c r="M13" i="1"/>
  <c r="M145" i="1"/>
  <c r="M494" i="1"/>
  <c r="M482" i="1"/>
  <c r="M470" i="1"/>
  <c r="M458" i="1"/>
  <c r="M446" i="1"/>
  <c r="M434" i="1"/>
  <c r="M422" i="1"/>
  <c r="M410" i="1"/>
  <c r="M398" i="1"/>
  <c r="M386" i="1"/>
  <c r="M374" i="1"/>
  <c r="M362" i="1"/>
  <c r="M350" i="1"/>
  <c r="M338" i="1"/>
  <c r="M326" i="1"/>
  <c r="M314" i="1"/>
  <c r="M302" i="1"/>
  <c r="M290" i="1"/>
  <c r="M278" i="1"/>
  <c r="M266" i="1"/>
  <c r="M254" i="1"/>
  <c r="M242" i="1"/>
  <c r="M230" i="1"/>
  <c r="M218" i="1"/>
  <c r="M206" i="1"/>
  <c r="M194" i="1"/>
  <c r="M182" i="1"/>
  <c r="M170" i="1"/>
  <c r="M158" i="1"/>
  <c r="M146" i="1"/>
  <c r="M134" i="1"/>
  <c r="M122" i="1"/>
  <c r="M110" i="1"/>
  <c r="M98" i="1"/>
  <c r="M86" i="1"/>
  <c r="M74" i="1"/>
  <c r="M62" i="1"/>
  <c r="M50" i="1"/>
  <c r="M38" i="1"/>
  <c r="M26" i="1"/>
  <c r="M14" i="1"/>
  <c r="M493" i="1"/>
  <c r="M481" i="1"/>
  <c r="M469" i="1"/>
  <c r="M457" i="1"/>
  <c r="M445" i="1"/>
  <c r="M433" i="1"/>
  <c r="M421" i="1"/>
  <c r="M409" i="1"/>
  <c r="M397" i="1"/>
  <c r="M385" i="1"/>
  <c r="M373" i="1"/>
  <c r="M361" i="1"/>
  <c r="M349" i="1"/>
  <c r="M337" i="1"/>
  <c r="M325" i="1"/>
  <c r="M313" i="1"/>
  <c r="M301" i="1"/>
  <c r="M289" i="1"/>
  <c r="M277" i="1"/>
  <c r="M265" i="1"/>
  <c r="M253" i="1"/>
  <c r="M241" i="1"/>
  <c r="M492" i="1"/>
  <c r="M480" i="1"/>
  <c r="M468" i="1"/>
  <c r="M456" i="1"/>
  <c r="M444" i="1"/>
  <c r="M432" i="1"/>
  <c r="M420" i="1"/>
  <c r="M408" i="1"/>
  <c r="M396" i="1"/>
  <c r="M384" i="1"/>
  <c r="M372" i="1"/>
  <c r="M360" i="1"/>
  <c r="M348" i="1"/>
  <c r="M336" i="1"/>
  <c r="M324" i="1"/>
  <c r="M312" i="1"/>
  <c r="M300" i="1"/>
  <c r="M288" i="1"/>
  <c r="M276" i="1"/>
  <c r="M264" i="1"/>
  <c r="M252" i="1"/>
  <c r="M240" i="1"/>
  <c r="M228" i="1"/>
  <c r="M216" i="1"/>
  <c r="M204" i="1"/>
  <c r="M192" i="1"/>
  <c r="M180" i="1"/>
  <c r="M168" i="1"/>
  <c r="M156" i="1"/>
  <c r="M144" i="1"/>
  <c r="M132" i="1"/>
  <c r="M120" i="1"/>
  <c r="M108" i="1"/>
  <c r="M96" i="1"/>
  <c r="M84" i="1"/>
  <c r="M72" i="1"/>
  <c r="M60" i="1"/>
  <c r="M48" i="1"/>
  <c r="M36" i="1"/>
  <c r="M24" i="1"/>
  <c r="M12" i="1"/>
  <c r="M491" i="1"/>
  <c r="M479" i="1"/>
  <c r="M467" i="1"/>
  <c r="M455" i="1"/>
  <c r="M443" i="1"/>
  <c r="M431" i="1"/>
  <c r="M419" i="1"/>
  <c r="M407" i="1"/>
  <c r="M395" i="1"/>
  <c r="M383" i="1"/>
  <c r="M371" i="1"/>
  <c r="M359" i="1"/>
  <c r="M347" i="1"/>
  <c r="M335" i="1"/>
  <c r="M323" i="1"/>
  <c r="M311" i="1"/>
  <c r="M299" i="1"/>
  <c r="M287" i="1"/>
  <c r="M275" i="1"/>
  <c r="M263" i="1"/>
  <c r="M251" i="1"/>
  <c r="M239" i="1"/>
  <c r="M227" i="1"/>
  <c r="M215" i="1"/>
  <c r="M203" i="1"/>
  <c r="M191" i="1"/>
  <c r="M179" i="1"/>
  <c r="M167" i="1"/>
  <c r="M155" i="1"/>
  <c r="M143" i="1"/>
  <c r="M131" i="1"/>
  <c r="M119" i="1"/>
  <c r="M107" i="1"/>
  <c r="M95" i="1"/>
  <c r="M83" i="1"/>
  <c r="M71" i="1"/>
  <c r="M59" i="1"/>
  <c r="M47" i="1"/>
  <c r="M35" i="1"/>
  <c r="M23" i="1"/>
  <c r="M11" i="1"/>
  <c r="M490" i="1"/>
  <c r="M478" i="1"/>
  <c r="M466" i="1"/>
  <c r="M454" i="1"/>
  <c r="M442" i="1"/>
  <c r="M430" i="1"/>
  <c r="M418" i="1"/>
  <c r="M406" i="1"/>
  <c r="M394" i="1"/>
  <c r="M382" i="1"/>
  <c r="M370" i="1"/>
  <c r="M358" i="1"/>
  <c r="M346" i="1"/>
  <c r="M334" i="1"/>
  <c r="M322" i="1"/>
  <c r="M310" i="1"/>
  <c r="M298" i="1"/>
  <c r="M286" i="1"/>
  <c r="M274" i="1"/>
  <c r="M262" i="1"/>
  <c r="M250" i="1"/>
  <c r="M238" i="1"/>
  <c r="M226" i="1"/>
  <c r="M214" i="1"/>
  <c r="M202" i="1"/>
  <c r="M190" i="1"/>
  <c r="M178" i="1"/>
  <c r="M166" i="1"/>
  <c r="M154" i="1"/>
  <c r="M142" i="1"/>
  <c r="M130" i="1"/>
  <c r="M118" i="1"/>
  <c r="M106" i="1"/>
  <c r="M94" i="1"/>
  <c r="M82" i="1"/>
  <c r="M70" i="1"/>
  <c r="M58" i="1"/>
  <c r="M46" i="1"/>
  <c r="M34" i="1"/>
  <c r="M22" i="1"/>
  <c r="M10" i="1"/>
  <c r="V5" i="1"/>
  <c r="V17" i="1"/>
  <c r="V29" i="1"/>
  <c r="V41" i="1"/>
  <c r="V53" i="1"/>
  <c r="M489" i="1"/>
  <c r="M477" i="1"/>
  <c r="M465" i="1"/>
  <c r="M453" i="1"/>
  <c r="M441" i="1"/>
  <c r="M429" i="1"/>
  <c r="M417" i="1"/>
  <c r="M405" i="1"/>
  <c r="M393" i="1"/>
  <c r="M381" i="1"/>
  <c r="M369" i="1"/>
  <c r="M357" i="1"/>
  <c r="M345" i="1"/>
  <c r="M333" i="1"/>
  <c r="M321" i="1"/>
  <c r="M309" i="1"/>
  <c r="M297" i="1"/>
  <c r="M285" i="1"/>
  <c r="M273" i="1"/>
  <c r="M261" i="1"/>
  <c r="M249" i="1"/>
  <c r="M237" i="1"/>
  <c r="M225" i="1"/>
  <c r="M213" i="1"/>
  <c r="M201" i="1"/>
  <c r="M189" i="1"/>
  <c r="M177" i="1"/>
  <c r="M165" i="1"/>
  <c r="M153" i="1"/>
  <c r="M141" i="1"/>
  <c r="M129" i="1"/>
  <c r="M117" i="1"/>
  <c r="M105" i="1"/>
  <c r="M93" i="1"/>
  <c r="M81" i="1"/>
  <c r="M69" i="1"/>
  <c r="M57" i="1"/>
  <c r="M45" i="1"/>
  <c r="M33" i="1"/>
  <c r="M21" i="1"/>
  <c r="M9" i="1"/>
  <c r="M500" i="1"/>
  <c r="M488" i="1"/>
  <c r="M476" i="1"/>
  <c r="M464" i="1"/>
  <c r="M452" i="1"/>
  <c r="M440" i="1"/>
  <c r="M428" i="1"/>
  <c r="M416" i="1"/>
  <c r="M404" i="1"/>
  <c r="M392" i="1"/>
  <c r="M380" i="1"/>
  <c r="M368" i="1"/>
  <c r="M356" i="1"/>
  <c r="M344" i="1"/>
  <c r="M332" i="1"/>
  <c r="M320" i="1"/>
  <c r="M308" i="1"/>
  <c r="M296" i="1"/>
  <c r="M284" i="1"/>
  <c r="M272" i="1"/>
  <c r="M260" i="1"/>
  <c r="M248" i="1"/>
  <c r="M236" i="1"/>
  <c r="M224" i="1"/>
  <c r="M212" i="1"/>
  <c r="M200" i="1"/>
  <c r="M188" i="1"/>
  <c r="M176" i="1"/>
  <c r="M164" i="1"/>
  <c r="M152" i="1"/>
  <c r="M140" i="1"/>
  <c r="M128" i="1"/>
  <c r="M116" i="1"/>
  <c r="M104" i="1"/>
  <c r="M92" i="1"/>
  <c r="M80" i="1"/>
  <c r="M68" i="1"/>
  <c r="M56" i="1"/>
  <c r="M44" i="1"/>
  <c r="M32" i="1"/>
  <c r="M20" i="1"/>
  <c r="M8" i="1"/>
  <c r="M499" i="1"/>
  <c r="M487" i="1"/>
  <c r="M475" i="1"/>
  <c r="M463" i="1"/>
  <c r="M451" i="1"/>
  <c r="M439" i="1"/>
  <c r="M427" i="1"/>
  <c r="M415" i="1"/>
  <c r="M403" i="1"/>
  <c r="M391" i="1"/>
  <c r="M379" i="1"/>
  <c r="M367" i="1"/>
  <c r="M355" i="1"/>
  <c r="M343" i="1"/>
  <c r="M331" i="1"/>
  <c r="M319" i="1"/>
  <c r="M307" i="1"/>
  <c r="M295" i="1"/>
  <c r="M283" i="1"/>
  <c r="M271" i="1"/>
  <c r="M259" i="1"/>
  <c r="M247" i="1"/>
  <c r="M235" i="1"/>
  <c r="M223" i="1"/>
  <c r="M211" i="1"/>
  <c r="M199" i="1"/>
  <c r="M187" i="1"/>
  <c r="M175" i="1"/>
  <c r="M163" i="1"/>
  <c r="M151" i="1"/>
  <c r="M139" i="1"/>
  <c r="M127" i="1"/>
  <c r="M115" i="1"/>
  <c r="M103" i="1"/>
  <c r="M91" i="1"/>
  <c r="M79" i="1"/>
  <c r="M67" i="1"/>
  <c r="M55" i="1"/>
  <c r="M43" i="1"/>
  <c r="M31" i="1"/>
  <c r="M19" i="1"/>
  <c r="M7" i="1"/>
  <c r="M498" i="1"/>
  <c r="M486" i="1"/>
  <c r="M474" i="1"/>
  <c r="M462" i="1"/>
  <c r="M450" i="1"/>
  <c r="M438" i="1"/>
  <c r="M426" i="1"/>
  <c r="M414" i="1"/>
  <c r="M402" i="1"/>
  <c r="M390" i="1"/>
  <c r="M378" i="1"/>
  <c r="M366" i="1"/>
  <c r="M354" i="1"/>
  <c r="M342" i="1"/>
  <c r="M330" i="1"/>
  <c r="M318" i="1"/>
  <c r="M306" i="1"/>
  <c r="M294" i="1"/>
  <c r="M282" i="1"/>
  <c r="M270" i="1"/>
  <c r="M258" i="1"/>
  <c r="M246" i="1"/>
  <c r="M234" i="1"/>
  <c r="M222" i="1"/>
  <c r="M210" i="1"/>
  <c r="M198" i="1"/>
  <c r="M186" i="1"/>
  <c r="M174" i="1"/>
  <c r="M162" i="1"/>
  <c r="M150" i="1"/>
  <c r="M138" i="1"/>
  <c r="M126" i="1"/>
  <c r="M114" i="1"/>
  <c r="M102" i="1"/>
  <c r="M90" i="1"/>
  <c r="M78" i="1"/>
  <c r="M66" i="1"/>
  <c r="M54" i="1"/>
  <c r="M42" i="1"/>
  <c r="M30" i="1"/>
  <c r="M18" i="1"/>
  <c r="M6" i="1"/>
  <c r="M497" i="1"/>
  <c r="M485" i="1"/>
  <c r="M473" i="1"/>
  <c r="M461" i="1"/>
  <c r="M449" i="1"/>
  <c r="M437" i="1"/>
  <c r="M425" i="1"/>
  <c r="M413" i="1"/>
  <c r="M401" i="1"/>
  <c r="M389" i="1"/>
  <c r="M377" i="1"/>
  <c r="M365" i="1"/>
  <c r="M353" i="1"/>
  <c r="M341" i="1"/>
  <c r="M329" i="1"/>
  <c r="M317" i="1"/>
  <c r="M305" i="1"/>
  <c r="M293" i="1"/>
  <c r="M281" i="1"/>
  <c r="M269" i="1"/>
  <c r="M257" i="1"/>
  <c r="M245" i="1"/>
  <c r="M233" i="1"/>
  <c r="M221" i="1"/>
  <c r="M209" i="1"/>
  <c r="M197" i="1"/>
  <c r="M185" i="1"/>
  <c r="M173" i="1"/>
  <c r="M161" i="1"/>
  <c r="M149" i="1"/>
  <c r="M137" i="1"/>
  <c r="M125" i="1"/>
  <c r="M113" i="1"/>
  <c r="M101" i="1"/>
  <c r="M89" i="1"/>
  <c r="M77" i="1"/>
  <c r="M65" i="1"/>
  <c r="M53" i="1"/>
  <c r="M41" i="1"/>
  <c r="M29" i="1"/>
  <c r="M17" i="1"/>
  <c r="M5" i="1"/>
  <c r="M496" i="1"/>
  <c r="M484" i="1"/>
  <c r="M472" i="1"/>
  <c r="M460" i="1"/>
  <c r="M448" i="1"/>
  <c r="M436" i="1"/>
  <c r="M424" i="1"/>
  <c r="M412" i="1"/>
  <c r="M400" i="1"/>
  <c r="M388" i="1"/>
  <c r="M376" i="1"/>
  <c r="M364" i="1"/>
  <c r="M352" i="1"/>
  <c r="M340" i="1"/>
  <c r="M328" i="1"/>
  <c r="M316" i="1"/>
  <c r="M304" i="1"/>
  <c r="M292" i="1"/>
  <c r="M280" i="1"/>
  <c r="M268" i="1"/>
  <c r="M256" i="1"/>
  <c r="M244" i="1"/>
  <c r="M232" i="1"/>
  <c r="M220" i="1"/>
  <c r="M208" i="1"/>
  <c r="M196" i="1"/>
  <c r="M184" i="1"/>
  <c r="M172" i="1"/>
  <c r="M160" i="1"/>
  <c r="M148" i="1"/>
  <c r="M136" i="1"/>
  <c r="M124" i="1"/>
  <c r="M112" i="1"/>
  <c r="M100" i="1"/>
  <c r="M88" i="1"/>
  <c r="M76" i="1"/>
  <c r="M64" i="1"/>
  <c r="M52" i="1"/>
  <c r="M40" i="1"/>
  <c r="M28" i="1"/>
  <c r="M16" i="1"/>
  <c r="M4" i="1"/>
  <c r="M495" i="1"/>
  <c r="M483" i="1"/>
  <c r="M471" i="1"/>
  <c r="M459" i="1"/>
  <c r="M447" i="1"/>
  <c r="M435" i="1"/>
  <c r="M423" i="1"/>
  <c r="M411" i="1"/>
  <c r="M399" i="1"/>
  <c r="M387" i="1"/>
  <c r="M375" i="1"/>
  <c r="M363" i="1"/>
  <c r="M351" i="1"/>
  <c r="M339" i="1"/>
  <c r="M327" i="1"/>
  <c r="M315" i="1"/>
  <c r="M303" i="1"/>
  <c r="M291" i="1"/>
  <c r="M279" i="1"/>
  <c r="M267" i="1"/>
  <c r="M255" i="1"/>
  <c r="M243" i="1"/>
  <c r="M231" i="1"/>
  <c r="M219" i="1"/>
  <c r="M207" i="1"/>
  <c r="M195" i="1"/>
  <c r="M183" i="1"/>
  <c r="M171" i="1"/>
  <c r="M159" i="1"/>
  <c r="M147" i="1"/>
  <c r="M135" i="1"/>
  <c r="M123" i="1"/>
  <c r="M111" i="1"/>
  <c r="M99" i="1"/>
  <c r="M87" i="1"/>
  <c r="M75" i="1"/>
  <c r="M63" i="1"/>
  <c r="M51" i="1"/>
  <c r="M39" i="1"/>
  <c r="M27" i="1"/>
  <c r="M15" i="1"/>
  <c r="M3" i="1"/>
  <c r="I422" i="1"/>
  <c r="I278" i="1"/>
  <c r="I134" i="1"/>
  <c r="I410" i="1"/>
  <c r="I266" i="1"/>
  <c r="I122" i="1"/>
  <c r="I398" i="1"/>
  <c r="I254" i="1"/>
  <c r="I110" i="1"/>
  <c r="I386" i="1"/>
  <c r="I242" i="1"/>
  <c r="I98" i="1"/>
  <c r="I374" i="1"/>
  <c r="I230" i="1"/>
  <c r="I86" i="1"/>
  <c r="I362" i="1"/>
  <c r="I218" i="1"/>
  <c r="I74" i="1"/>
  <c r="I494" i="1"/>
  <c r="I350" i="1"/>
  <c r="I206" i="1"/>
  <c r="I62" i="1"/>
  <c r="I482" i="1"/>
  <c r="I338" i="1"/>
  <c r="I194" i="1"/>
  <c r="I50" i="1"/>
  <c r="I470" i="1"/>
  <c r="I326" i="1"/>
  <c r="I182" i="1"/>
  <c r="I38" i="1"/>
  <c r="I458" i="1"/>
  <c r="I314" i="1"/>
  <c r="I170" i="1"/>
  <c r="I26" i="1"/>
  <c r="I446" i="1"/>
  <c r="I302" i="1"/>
  <c r="I158" i="1"/>
  <c r="I14" i="1"/>
  <c r="I434" i="1"/>
  <c r="I290" i="1"/>
  <c r="I146" i="1"/>
  <c r="M2" i="1"/>
  <c r="I493" i="1"/>
  <c r="I481" i="1"/>
  <c r="I469" i="1"/>
  <c r="I457" i="1"/>
  <c r="I445" i="1"/>
  <c r="I433" i="1"/>
  <c r="I421" i="1"/>
  <c r="I409" i="1"/>
  <c r="I397" i="1"/>
  <c r="I385" i="1"/>
  <c r="I373" i="1"/>
  <c r="I361" i="1"/>
  <c r="I349" i="1"/>
  <c r="I337" i="1"/>
  <c r="I325" i="1"/>
  <c r="I313" i="1"/>
  <c r="I301" i="1"/>
  <c r="I289" i="1"/>
  <c r="I277" i="1"/>
  <c r="I265" i="1"/>
  <c r="I253" i="1"/>
  <c r="I241" i="1"/>
  <c r="I229" i="1"/>
  <c r="I217" i="1"/>
  <c r="I205" i="1"/>
  <c r="I193" i="1"/>
  <c r="I181" i="1"/>
  <c r="I169" i="1"/>
  <c r="I157" i="1"/>
  <c r="I145" i="1"/>
  <c r="I133" i="1"/>
  <c r="I121" i="1"/>
  <c r="I109" i="1"/>
  <c r="I97" i="1"/>
  <c r="I85" i="1"/>
  <c r="I73" i="1"/>
  <c r="I61" i="1"/>
  <c r="I49" i="1"/>
  <c r="I37" i="1"/>
  <c r="I25" i="1"/>
  <c r="I13" i="1"/>
  <c r="I492" i="1"/>
  <c r="I480" i="1"/>
  <c r="I468" i="1"/>
  <c r="I456" i="1"/>
  <c r="I444" i="1"/>
  <c r="I432" i="1"/>
  <c r="I420" i="1"/>
  <c r="I408" i="1"/>
  <c r="I396" i="1"/>
  <c r="I384" i="1"/>
  <c r="I372" i="1"/>
  <c r="I360" i="1"/>
  <c r="I348" i="1"/>
  <c r="I336" i="1"/>
  <c r="I324" i="1"/>
  <c r="I312" i="1"/>
  <c r="I300" i="1"/>
  <c r="I288" i="1"/>
  <c r="I276" i="1"/>
  <c r="I264" i="1"/>
  <c r="I252" i="1"/>
  <c r="I240" i="1"/>
  <c r="I228" i="1"/>
  <c r="I216" i="1"/>
  <c r="I204" i="1"/>
  <c r="I192" i="1"/>
  <c r="I180" i="1"/>
  <c r="I168" i="1"/>
  <c r="I156" i="1"/>
  <c r="I144" i="1"/>
  <c r="I132" i="1"/>
  <c r="I120" i="1"/>
  <c r="I108" i="1"/>
  <c r="I96" i="1"/>
  <c r="I84" i="1"/>
  <c r="I72" i="1"/>
  <c r="I60" i="1"/>
  <c r="I48" i="1"/>
  <c r="I36" i="1"/>
  <c r="I24" i="1"/>
  <c r="I12" i="1"/>
  <c r="I491" i="1"/>
  <c r="I479" i="1"/>
  <c r="I467" i="1"/>
  <c r="I455" i="1"/>
  <c r="I443" i="1"/>
  <c r="I431" i="1"/>
  <c r="I419" i="1"/>
  <c r="I407" i="1"/>
  <c r="I395" i="1"/>
  <c r="I383" i="1"/>
  <c r="I371" i="1"/>
  <c r="I359" i="1"/>
  <c r="I347" i="1"/>
  <c r="I335" i="1"/>
  <c r="I323" i="1"/>
  <c r="I311" i="1"/>
  <c r="I299" i="1"/>
  <c r="I287" i="1"/>
  <c r="I275" i="1"/>
  <c r="I263" i="1"/>
  <c r="I251" i="1"/>
  <c r="I239" i="1"/>
  <c r="I227" i="1"/>
  <c r="I215" i="1"/>
  <c r="I203" i="1"/>
  <c r="I191" i="1"/>
  <c r="I179" i="1"/>
  <c r="I167" i="1"/>
  <c r="I155" i="1"/>
  <c r="I143" i="1"/>
  <c r="I131" i="1"/>
  <c r="I119" i="1"/>
  <c r="I107" i="1"/>
  <c r="I95" i="1"/>
  <c r="I83" i="1"/>
  <c r="I71" i="1"/>
  <c r="I59" i="1"/>
  <c r="I47" i="1"/>
  <c r="I35" i="1"/>
  <c r="I23" i="1"/>
  <c r="I11" i="1"/>
  <c r="I490" i="1"/>
  <c r="I478" i="1"/>
  <c r="I466" i="1"/>
  <c r="I454" i="1"/>
  <c r="I442" i="1"/>
  <c r="I430" i="1"/>
  <c r="I418" i="1"/>
  <c r="I406" i="1"/>
  <c r="I394" i="1"/>
  <c r="I382" i="1"/>
  <c r="I370" i="1"/>
  <c r="I358" i="1"/>
  <c r="I346" i="1"/>
  <c r="I334" i="1"/>
  <c r="I322" i="1"/>
  <c r="I310" i="1"/>
  <c r="I298" i="1"/>
  <c r="I286" i="1"/>
  <c r="I274" i="1"/>
  <c r="I262" i="1"/>
  <c r="I250" i="1"/>
  <c r="I238" i="1"/>
  <c r="I226" i="1"/>
  <c r="I214" i="1"/>
  <c r="I202" i="1"/>
  <c r="I190" i="1"/>
  <c r="I178" i="1"/>
  <c r="I166" i="1"/>
  <c r="I154" i="1"/>
  <c r="I142" i="1"/>
  <c r="I130" i="1"/>
  <c r="I118" i="1"/>
  <c r="I106" i="1"/>
  <c r="I94" i="1"/>
  <c r="I82" i="1"/>
  <c r="I70" i="1"/>
  <c r="I58" i="1"/>
  <c r="I46" i="1"/>
  <c r="I34" i="1"/>
  <c r="I22" i="1"/>
  <c r="I10" i="1"/>
  <c r="I489" i="1"/>
  <c r="I477" i="1"/>
  <c r="I465" i="1"/>
  <c r="I453" i="1"/>
  <c r="I441" i="1"/>
  <c r="I429" i="1"/>
  <c r="I417" i="1"/>
  <c r="I405" i="1"/>
  <c r="I393" i="1"/>
  <c r="I381" i="1"/>
  <c r="I369" i="1"/>
  <c r="I357" i="1"/>
  <c r="I345" i="1"/>
  <c r="I333" i="1"/>
  <c r="I321" i="1"/>
  <c r="I309" i="1"/>
  <c r="I297" i="1"/>
  <c r="I285" i="1"/>
  <c r="I273" i="1"/>
  <c r="I261" i="1"/>
  <c r="I249" i="1"/>
  <c r="I237" i="1"/>
  <c r="I225" i="1"/>
  <c r="I213" i="1"/>
  <c r="I201" i="1"/>
  <c r="I189" i="1"/>
  <c r="I177" i="1"/>
  <c r="I165" i="1"/>
  <c r="I153" i="1"/>
  <c r="I141" i="1"/>
  <c r="I129" i="1"/>
  <c r="I117" i="1"/>
  <c r="I105" i="1"/>
  <c r="I93" i="1"/>
  <c r="I81" i="1"/>
  <c r="I69" i="1"/>
  <c r="I57" i="1"/>
  <c r="I45" i="1"/>
  <c r="I33" i="1"/>
  <c r="I21" i="1"/>
  <c r="I9" i="1"/>
  <c r="I500" i="1"/>
  <c r="I488" i="1"/>
  <c r="I476" i="1"/>
  <c r="I464" i="1"/>
  <c r="I452" i="1"/>
  <c r="I440" i="1"/>
  <c r="I428" i="1"/>
  <c r="I416" i="1"/>
  <c r="I404" i="1"/>
  <c r="I392" i="1"/>
  <c r="I380" i="1"/>
  <c r="I368" i="1"/>
  <c r="I356" i="1"/>
  <c r="I344" i="1"/>
  <c r="I332" i="1"/>
  <c r="I320" i="1"/>
  <c r="I308" i="1"/>
  <c r="I296" i="1"/>
  <c r="I284" i="1"/>
  <c r="I272" i="1"/>
  <c r="I260" i="1"/>
  <c r="I248" i="1"/>
  <c r="I236" i="1"/>
  <c r="I224" i="1"/>
  <c r="I212" i="1"/>
  <c r="I200" i="1"/>
  <c r="I188" i="1"/>
  <c r="I176" i="1"/>
  <c r="I164" i="1"/>
  <c r="I152" i="1"/>
  <c r="I140" i="1"/>
  <c r="I128" i="1"/>
  <c r="I116" i="1"/>
  <c r="I104" i="1"/>
  <c r="I92" i="1"/>
  <c r="I80" i="1"/>
  <c r="I68" i="1"/>
  <c r="I56" i="1"/>
  <c r="I44" i="1"/>
  <c r="I32" i="1"/>
  <c r="I20" i="1"/>
  <c r="I8" i="1"/>
  <c r="I499" i="1"/>
  <c r="I487" i="1"/>
  <c r="I475" i="1"/>
  <c r="I463" i="1"/>
  <c r="I451" i="1"/>
  <c r="I439" i="1"/>
  <c r="I427" i="1"/>
  <c r="I415" i="1"/>
  <c r="I403" i="1"/>
  <c r="I391" i="1"/>
  <c r="I379" i="1"/>
  <c r="I367" i="1"/>
  <c r="I355" i="1"/>
  <c r="I343" i="1"/>
  <c r="I331" i="1"/>
  <c r="I319" i="1"/>
  <c r="I307" i="1"/>
  <c r="I295" i="1"/>
  <c r="I283" i="1"/>
  <c r="I271" i="1"/>
  <c r="I259" i="1"/>
  <c r="I247" i="1"/>
  <c r="I235" i="1"/>
  <c r="I223" i="1"/>
  <c r="I211" i="1"/>
  <c r="I199" i="1"/>
  <c r="I187" i="1"/>
  <c r="I175" i="1"/>
  <c r="I163" i="1"/>
  <c r="I151" i="1"/>
  <c r="I139" i="1"/>
  <c r="I127" i="1"/>
  <c r="I115" i="1"/>
  <c r="I103" i="1"/>
  <c r="I91" i="1"/>
  <c r="I79" i="1"/>
  <c r="I67" i="1"/>
  <c r="I55" i="1"/>
  <c r="I43" i="1"/>
  <c r="I31" i="1"/>
  <c r="I19" i="1"/>
  <c r="I7" i="1"/>
  <c r="I498" i="1"/>
  <c r="I486" i="1"/>
  <c r="I474" i="1"/>
  <c r="I462" i="1"/>
  <c r="I450" i="1"/>
  <c r="I438" i="1"/>
  <c r="I426" i="1"/>
  <c r="I414" i="1"/>
  <c r="I402" i="1"/>
  <c r="I390" i="1"/>
  <c r="I378" i="1"/>
  <c r="I366" i="1"/>
  <c r="I354" i="1"/>
  <c r="I342" i="1"/>
  <c r="I330" i="1"/>
  <c r="I318" i="1"/>
  <c r="I306" i="1"/>
  <c r="I294" i="1"/>
  <c r="I282" i="1"/>
  <c r="I270" i="1"/>
  <c r="I258" i="1"/>
  <c r="I246" i="1"/>
  <c r="I234" i="1"/>
  <c r="I222" i="1"/>
  <c r="I210" i="1"/>
  <c r="I198" i="1"/>
  <c r="I186" i="1"/>
  <c r="I174" i="1"/>
  <c r="I162" i="1"/>
  <c r="I150" i="1"/>
  <c r="I138" i="1"/>
  <c r="I126" i="1"/>
  <c r="I114" i="1"/>
  <c r="I102" i="1"/>
  <c r="I90" i="1"/>
  <c r="I78" i="1"/>
  <c r="I66" i="1"/>
  <c r="I54" i="1"/>
  <c r="I42" i="1"/>
  <c r="I30" i="1"/>
  <c r="I18" i="1"/>
  <c r="I6" i="1"/>
  <c r="I497" i="1"/>
  <c r="I485" i="1"/>
  <c r="I473" i="1"/>
  <c r="I461" i="1"/>
  <c r="I449" i="1"/>
  <c r="I437" i="1"/>
  <c r="I425" i="1"/>
  <c r="I413" i="1"/>
  <c r="I401" i="1"/>
  <c r="I389" i="1"/>
  <c r="I377" i="1"/>
  <c r="I365" i="1"/>
  <c r="I353" i="1"/>
  <c r="I341" i="1"/>
  <c r="I329" i="1"/>
  <c r="I317" i="1"/>
  <c r="I305" i="1"/>
  <c r="I293" i="1"/>
  <c r="I281" i="1"/>
  <c r="I269" i="1"/>
  <c r="I257" i="1"/>
  <c r="I245" i="1"/>
  <c r="I233" i="1"/>
  <c r="I221" i="1"/>
  <c r="I209" i="1"/>
  <c r="I197" i="1"/>
  <c r="I185" i="1"/>
  <c r="I173" i="1"/>
  <c r="I161" i="1"/>
  <c r="I149" i="1"/>
  <c r="I137" i="1"/>
  <c r="I125" i="1"/>
  <c r="I113" i="1"/>
  <c r="I101" i="1"/>
  <c r="I89" i="1"/>
  <c r="I77" i="1"/>
  <c r="I65" i="1"/>
  <c r="I53" i="1"/>
  <c r="I41" i="1"/>
  <c r="I29" i="1"/>
  <c r="I17" i="1"/>
  <c r="I5" i="1"/>
  <c r="I496" i="1"/>
  <c r="I484" i="1"/>
  <c r="I472" i="1"/>
  <c r="I460" i="1"/>
  <c r="I448" i="1"/>
  <c r="I436" i="1"/>
  <c r="I424" i="1"/>
  <c r="I412" i="1"/>
  <c r="I400" i="1"/>
  <c r="I388" i="1"/>
  <c r="I376" i="1"/>
  <c r="I364" i="1"/>
  <c r="I352" i="1"/>
  <c r="I340" i="1"/>
  <c r="I328" i="1"/>
  <c r="I316" i="1"/>
  <c r="I304" i="1"/>
  <c r="I292" i="1"/>
  <c r="I280" i="1"/>
  <c r="I268" i="1"/>
  <c r="I256" i="1"/>
  <c r="I244" i="1"/>
  <c r="I232" i="1"/>
  <c r="I220" i="1"/>
  <c r="I208" i="1"/>
  <c r="I196" i="1"/>
  <c r="I184" i="1"/>
  <c r="I172" i="1"/>
  <c r="I160" i="1"/>
  <c r="I148" i="1"/>
  <c r="I136" i="1"/>
  <c r="I124" i="1"/>
  <c r="I112" i="1"/>
  <c r="I100" i="1"/>
  <c r="I88" i="1"/>
  <c r="I76" i="1"/>
  <c r="I64" i="1"/>
  <c r="I52" i="1"/>
  <c r="I40" i="1"/>
  <c r="I28" i="1"/>
  <c r="I16" i="1"/>
  <c r="I4" i="1"/>
  <c r="I495" i="1"/>
  <c r="I483" i="1"/>
  <c r="I471" i="1"/>
  <c r="I459" i="1"/>
  <c r="I447" i="1"/>
  <c r="I435" i="1"/>
  <c r="I423" i="1"/>
  <c r="I411" i="1"/>
  <c r="I399" i="1"/>
  <c r="I387" i="1"/>
  <c r="I375" i="1"/>
  <c r="I363" i="1"/>
  <c r="I351" i="1"/>
  <c r="I339" i="1"/>
  <c r="I327" i="1"/>
  <c r="I315" i="1"/>
  <c r="I303" i="1"/>
  <c r="I291" i="1"/>
  <c r="I279" i="1"/>
  <c r="I267" i="1"/>
  <c r="I255" i="1"/>
  <c r="I243" i="1"/>
  <c r="I231" i="1"/>
  <c r="I219" i="1"/>
  <c r="I207" i="1"/>
  <c r="I195" i="1"/>
  <c r="I183" i="1"/>
  <c r="I171" i="1"/>
  <c r="I159" i="1"/>
  <c r="I147" i="1"/>
  <c r="I135" i="1"/>
  <c r="I123" i="1"/>
  <c r="I111" i="1"/>
  <c r="I99" i="1"/>
  <c r="I87" i="1"/>
  <c r="I75" i="1"/>
  <c r="I63" i="1"/>
  <c r="I51" i="1"/>
  <c r="I39" i="1"/>
  <c r="I27" i="1"/>
  <c r="I15" i="1"/>
  <c r="I3" i="1"/>
  <c r="I2" i="1"/>
  <c r="V65" i="1"/>
  <c r="V77" i="1"/>
  <c r="V89" i="1"/>
  <c r="V101" i="1"/>
  <c r="V10" i="1"/>
  <c r="V22" i="1"/>
  <c r="V34" i="1"/>
  <c r="V46" i="1"/>
  <c r="V58" i="1"/>
  <c r="V70" i="1"/>
  <c r="V82" i="1"/>
  <c r="V94" i="1"/>
  <c r="V106" i="1"/>
  <c r="V118" i="1"/>
  <c r="V130" i="1"/>
  <c r="V142" i="1"/>
  <c r="V154" i="1"/>
  <c r="V166" i="1"/>
  <c r="V178" i="1"/>
  <c r="V190" i="1"/>
  <c r="V202" i="1"/>
  <c r="V214" i="1"/>
  <c r="V226" i="1"/>
  <c r="V238" i="1"/>
  <c r="V250" i="1"/>
  <c r="V262" i="1"/>
  <c r="V274" i="1"/>
  <c r="V286" i="1"/>
  <c r="V298" i="1"/>
  <c r="V7" i="1"/>
  <c r="V19" i="1"/>
  <c r="V31" i="1"/>
  <c r="V43" i="1"/>
  <c r="V55" i="1"/>
  <c r="V67" i="1"/>
  <c r="V79" i="1"/>
  <c r="V91" i="1"/>
  <c r="V103" i="1"/>
  <c r="V115" i="1"/>
  <c r="V127" i="1"/>
  <c r="V139" i="1"/>
  <c r="V151" i="1"/>
  <c r="V163" i="1"/>
  <c r="V175" i="1"/>
  <c r="V187" i="1"/>
  <c r="V199" i="1"/>
  <c r="V211" i="1"/>
  <c r="V223" i="1"/>
  <c r="V235" i="1"/>
  <c r="V247" i="1"/>
  <c r="V259" i="1"/>
  <c r="V271" i="1"/>
  <c r="V283" i="1"/>
  <c r="V295" i="1"/>
  <c r="V307" i="1"/>
  <c r="V319" i="1"/>
  <c r="V331" i="1"/>
  <c r="V343" i="1"/>
  <c r="V355" i="1"/>
  <c r="V367" i="1"/>
  <c r="W379" i="1"/>
  <c r="W391" i="1"/>
  <c r="V310" i="1"/>
  <c r="V322" i="1"/>
  <c r="V334" i="1"/>
  <c r="V346" i="1"/>
  <c r="V358" i="1"/>
  <c r="V370" i="1"/>
  <c r="V382" i="1"/>
  <c r="V394" i="1"/>
  <c r="V406" i="1"/>
  <c r="V14" i="1"/>
  <c r="V26" i="1"/>
  <c r="V38" i="1"/>
  <c r="V50" i="1"/>
  <c r="V62" i="1"/>
  <c r="V74" i="1"/>
  <c r="V86" i="1"/>
  <c r="V98" i="1"/>
  <c r="V110" i="1"/>
  <c r="V122" i="1"/>
  <c r="V134" i="1"/>
  <c r="V146" i="1"/>
  <c r="V158" i="1"/>
  <c r="V170" i="1"/>
  <c r="V182" i="1"/>
  <c r="V194" i="1"/>
  <c r="V206" i="1"/>
  <c r="V218" i="1"/>
  <c r="V230" i="1"/>
  <c r="V242" i="1"/>
  <c r="V254" i="1"/>
  <c r="V266" i="1"/>
  <c r="V278" i="1"/>
  <c r="V290" i="1"/>
  <c r="V302" i="1"/>
  <c r="V314" i="1"/>
  <c r="V326" i="1"/>
  <c r="V338" i="1"/>
  <c r="V350" i="1"/>
  <c r="V362" i="1"/>
  <c r="W374" i="1"/>
  <c r="W386" i="1"/>
  <c r="W398" i="1"/>
  <c r="W410" i="1"/>
  <c r="W422" i="1"/>
  <c r="V12" i="1"/>
  <c r="V24" i="1"/>
  <c r="V36" i="1"/>
  <c r="V48" i="1"/>
  <c r="V60" i="1"/>
  <c r="V72" i="1"/>
  <c r="V84" i="1"/>
  <c r="V96" i="1"/>
  <c r="V108" i="1"/>
  <c r="V120" i="1"/>
  <c r="V132" i="1"/>
  <c r="V144" i="1"/>
  <c r="V156" i="1"/>
  <c r="V168" i="1"/>
  <c r="V180" i="1"/>
  <c r="V192" i="1"/>
  <c r="V204" i="1"/>
  <c r="V216" i="1"/>
  <c r="V228" i="1"/>
  <c r="V240" i="1"/>
  <c r="V252" i="1"/>
  <c r="V264" i="1"/>
  <c r="V276" i="1"/>
  <c r="V288" i="1"/>
  <c r="V300" i="1"/>
  <c r="V312" i="1"/>
  <c r="V324" i="1"/>
  <c r="V336" i="1"/>
  <c r="V348" i="1"/>
  <c r="V360" i="1"/>
  <c r="V372" i="1"/>
  <c r="V384" i="1"/>
  <c r="V396" i="1"/>
  <c r="V408" i="1"/>
  <c r="V420" i="1"/>
  <c r="V432" i="1"/>
  <c r="V444" i="1"/>
  <c r="V456" i="1"/>
  <c r="V4" i="1"/>
  <c r="V16" i="1"/>
  <c r="V28" i="1"/>
  <c r="V40" i="1"/>
  <c r="V52" i="1"/>
  <c r="V64" i="1"/>
  <c r="V76" i="1"/>
  <c r="V88" i="1"/>
  <c r="V100" i="1"/>
  <c r="V112" i="1"/>
  <c r="V124" i="1"/>
  <c r="V136" i="1"/>
  <c r="V148" i="1"/>
  <c r="V160" i="1"/>
  <c r="V172" i="1"/>
  <c r="V184" i="1"/>
  <c r="V196" i="1"/>
  <c r="V208" i="1"/>
  <c r="V220" i="1"/>
  <c r="V232" i="1"/>
  <c r="V244" i="1"/>
  <c r="V256" i="1"/>
  <c r="V268" i="1"/>
  <c r="V280" i="1"/>
  <c r="V292" i="1"/>
  <c r="V304" i="1"/>
  <c r="V316" i="1"/>
  <c r="V328" i="1"/>
  <c r="V340" i="1"/>
  <c r="V352" i="1"/>
  <c r="V364" i="1"/>
  <c r="V376" i="1"/>
  <c r="V388" i="1"/>
  <c r="V400" i="1"/>
  <c r="V412" i="1"/>
  <c r="V424" i="1"/>
  <c r="V113" i="1"/>
  <c r="V125" i="1"/>
  <c r="V137" i="1"/>
  <c r="V149" i="1"/>
  <c r="V161" i="1"/>
  <c r="V173" i="1"/>
  <c r="V185" i="1"/>
  <c r="V197" i="1"/>
  <c r="V209" i="1"/>
  <c r="V221" i="1"/>
  <c r="V233" i="1"/>
  <c r="V245" i="1"/>
  <c r="V257" i="1"/>
  <c r="V269" i="1"/>
  <c r="V281" i="1"/>
  <c r="V293" i="1"/>
  <c r="V305" i="1"/>
  <c r="V317" i="1"/>
  <c r="V329" i="1"/>
  <c r="V341" i="1"/>
  <c r="V6" i="1"/>
  <c r="V18" i="1"/>
  <c r="V30" i="1"/>
  <c r="V42" i="1"/>
  <c r="V54" i="1"/>
  <c r="V66" i="1"/>
  <c r="V78" i="1"/>
  <c r="V90" i="1"/>
  <c r="V102" i="1"/>
  <c r="V114" i="1"/>
  <c r="V126" i="1"/>
  <c r="V138" i="1"/>
  <c r="V150" i="1"/>
  <c r="V162" i="1"/>
  <c r="V174" i="1"/>
  <c r="V186" i="1"/>
  <c r="V198" i="1"/>
  <c r="V210" i="1"/>
  <c r="V222" i="1"/>
  <c r="V234" i="1"/>
  <c r="V246" i="1"/>
  <c r="V258" i="1"/>
  <c r="V270" i="1"/>
  <c r="V282" i="1"/>
  <c r="V294" i="1"/>
  <c r="V306" i="1"/>
  <c r="V318" i="1"/>
  <c r="V330" i="1"/>
  <c r="V342" i="1"/>
  <c r="V354" i="1"/>
  <c r="V366" i="1"/>
  <c r="V378" i="1"/>
  <c r="V390" i="1"/>
  <c r="V402" i="1"/>
  <c r="V414" i="1"/>
  <c r="V426" i="1"/>
  <c r="V438" i="1"/>
  <c r="V450" i="1"/>
  <c r="V462" i="1"/>
  <c r="V474" i="1"/>
  <c r="V436" i="1"/>
  <c r="V353" i="1"/>
  <c r="V486" i="1"/>
  <c r="W498" i="1"/>
  <c r="W8" i="1"/>
  <c r="W20" i="1"/>
  <c r="W32" i="1"/>
  <c r="W44" i="1"/>
  <c r="W56" i="1"/>
  <c r="W68" i="1"/>
  <c r="W80" i="1"/>
  <c r="W92" i="1"/>
  <c r="W104" i="1"/>
  <c r="W116" i="1"/>
  <c r="W128" i="1"/>
  <c r="W140" i="1"/>
  <c r="W152" i="1"/>
  <c r="W164" i="1"/>
  <c r="W176" i="1"/>
  <c r="W188" i="1"/>
  <c r="W200" i="1"/>
  <c r="W212" i="1"/>
  <c r="W224" i="1"/>
  <c r="W236" i="1"/>
  <c r="W248" i="1"/>
  <c r="W260" i="1"/>
  <c r="W272" i="1"/>
  <c r="W284" i="1"/>
  <c r="W296" i="1"/>
  <c r="W308" i="1"/>
  <c r="W320" i="1"/>
  <c r="W332" i="1"/>
  <c r="W344" i="1"/>
  <c r="W356" i="1"/>
  <c r="W368" i="1"/>
  <c r="W380" i="1"/>
  <c r="V418" i="1"/>
  <c r="V430" i="1"/>
  <c r="V442" i="1"/>
  <c r="V454" i="1"/>
  <c r="V466" i="1"/>
  <c r="V478" i="1"/>
  <c r="V490" i="1"/>
  <c r="W468" i="1"/>
  <c r="W480" i="1"/>
  <c r="W492" i="1"/>
  <c r="V13" i="1"/>
  <c r="V25" i="1"/>
  <c r="V37" i="1"/>
  <c r="V49" i="1"/>
  <c r="V61" i="1"/>
  <c r="V73" i="1"/>
  <c r="V85" i="1"/>
  <c r="V97" i="1"/>
  <c r="V109" i="1"/>
  <c r="V121" i="1"/>
  <c r="V133" i="1"/>
  <c r="V145" i="1"/>
  <c r="V157" i="1"/>
  <c r="V169" i="1"/>
  <c r="V181" i="1"/>
  <c r="V193" i="1"/>
  <c r="V205" i="1"/>
  <c r="V217" i="1"/>
  <c r="V229" i="1"/>
  <c r="V241" i="1"/>
  <c r="V253" i="1"/>
  <c r="V265" i="1"/>
  <c r="V277" i="1"/>
  <c r="V289" i="1"/>
  <c r="V301" i="1"/>
  <c r="V313" i="1"/>
  <c r="V325" i="1"/>
  <c r="V337" i="1"/>
  <c r="V349" i="1"/>
  <c r="V361" i="1"/>
  <c r="V373" i="1"/>
  <c r="V385" i="1"/>
  <c r="V397" i="1"/>
  <c r="V409" i="1"/>
  <c r="V421" i="1"/>
  <c r="V433" i="1"/>
  <c r="V11" i="1"/>
  <c r="V23" i="1"/>
  <c r="V35" i="1"/>
  <c r="V47" i="1"/>
  <c r="V59" i="1"/>
  <c r="V71" i="1"/>
  <c r="V83" i="1"/>
  <c r="V95" i="1"/>
  <c r="V107" i="1"/>
  <c r="V119" i="1"/>
  <c r="V131" i="1"/>
  <c r="V143" i="1"/>
  <c r="V155" i="1"/>
  <c r="V167" i="1"/>
  <c r="V179" i="1"/>
  <c r="V191" i="1"/>
  <c r="V203" i="1"/>
  <c r="V215" i="1"/>
  <c r="V227" i="1"/>
  <c r="V239" i="1"/>
  <c r="V251" i="1"/>
  <c r="V263" i="1"/>
  <c r="V275" i="1"/>
  <c r="V287" i="1"/>
  <c r="V299" i="1"/>
  <c r="V311" i="1"/>
  <c r="V323" i="1"/>
  <c r="V335" i="1"/>
  <c r="V347" i="1"/>
  <c r="V359" i="1"/>
  <c r="V371" i="1"/>
  <c r="V383" i="1"/>
  <c r="V395" i="1"/>
  <c r="V407" i="1"/>
  <c r="V419" i="1"/>
  <c r="V431" i="1"/>
  <c r="V443" i="1"/>
  <c r="V455" i="1"/>
  <c r="V434" i="1"/>
  <c r="W446" i="1"/>
  <c r="W458" i="1"/>
  <c r="W470" i="1"/>
  <c r="W482" i="1"/>
  <c r="W494" i="1"/>
  <c r="W434" i="1"/>
  <c r="W290" i="1"/>
  <c r="W146" i="1"/>
  <c r="W278" i="1"/>
  <c r="W134" i="1"/>
  <c r="W266" i="1"/>
  <c r="W122" i="1"/>
  <c r="W254" i="1"/>
  <c r="X254" i="1" s="1"/>
  <c r="Y254" i="1" s="1"/>
  <c r="W110" i="1"/>
  <c r="W445" i="1"/>
  <c r="W457" i="1"/>
  <c r="W469" i="1"/>
  <c r="W481" i="1"/>
  <c r="W493" i="1"/>
  <c r="W242" i="1"/>
  <c r="W98" i="1"/>
  <c r="W2" i="1"/>
  <c r="W230" i="1"/>
  <c r="W86" i="1"/>
  <c r="W362" i="1"/>
  <c r="W218" i="1"/>
  <c r="W74" i="1"/>
  <c r="W350" i="1"/>
  <c r="W206" i="1"/>
  <c r="W62" i="1"/>
  <c r="W338" i="1"/>
  <c r="W194" i="1"/>
  <c r="W50" i="1"/>
  <c r="W326" i="1"/>
  <c r="W182" i="1"/>
  <c r="W38" i="1"/>
  <c r="W403" i="1"/>
  <c r="W415" i="1"/>
  <c r="W427" i="1"/>
  <c r="W439" i="1"/>
  <c r="W451" i="1"/>
  <c r="W463" i="1"/>
  <c r="W475" i="1"/>
  <c r="W487" i="1"/>
  <c r="W499" i="1"/>
  <c r="W314" i="1"/>
  <c r="W170" i="1"/>
  <c r="W26" i="1"/>
  <c r="X26" i="1" s="1"/>
  <c r="Y26" i="1" s="1"/>
  <c r="W392" i="1"/>
  <c r="W404" i="1"/>
  <c r="W416" i="1"/>
  <c r="W428" i="1"/>
  <c r="W440" i="1"/>
  <c r="W452" i="1"/>
  <c r="W464" i="1"/>
  <c r="W476" i="1"/>
  <c r="W488" i="1"/>
  <c r="W500" i="1"/>
  <c r="W302" i="1"/>
  <c r="X302" i="1" s="1"/>
  <c r="Y302" i="1" s="1"/>
  <c r="W158" i="1"/>
  <c r="W14" i="1"/>
  <c r="V467" i="1"/>
  <c r="V479" i="1"/>
  <c r="V491" i="1"/>
  <c r="W433" i="1"/>
  <c r="W421" i="1"/>
  <c r="W409" i="1"/>
  <c r="W397" i="1"/>
  <c r="W385" i="1"/>
  <c r="W373" i="1"/>
  <c r="W361" i="1"/>
  <c r="W349" i="1"/>
  <c r="W337" i="1"/>
  <c r="W325" i="1"/>
  <c r="W313" i="1"/>
  <c r="W301" i="1"/>
  <c r="W289" i="1"/>
  <c r="W277" i="1"/>
  <c r="W265" i="1"/>
  <c r="W253" i="1"/>
  <c r="W241" i="1"/>
  <c r="W229" i="1"/>
  <c r="W217" i="1"/>
  <c r="W205" i="1"/>
  <c r="W193" i="1"/>
  <c r="W181" i="1"/>
  <c r="W169" i="1"/>
  <c r="W157" i="1"/>
  <c r="W145" i="1"/>
  <c r="W133" i="1"/>
  <c r="W121" i="1"/>
  <c r="W109" i="1"/>
  <c r="W97" i="1"/>
  <c r="W85" i="1"/>
  <c r="W73" i="1"/>
  <c r="W61" i="1"/>
  <c r="W49" i="1"/>
  <c r="W37" i="1"/>
  <c r="W25" i="1"/>
  <c r="W13" i="1"/>
  <c r="W456" i="1"/>
  <c r="W444" i="1"/>
  <c r="W432" i="1"/>
  <c r="W420" i="1"/>
  <c r="X420" i="1" s="1"/>
  <c r="Y420" i="1" s="1"/>
  <c r="W408" i="1"/>
  <c r="W396" i="1"/>
  <c r="W384" i="1"/>
  <c r="W372" i="1"/>
  <c r="W360" i="1"/>
  <c r="W348" i="1"/>
  <c r="X348" i="1" s="1"/>
  <c r="Y348" i="1" s="1"/>
  <c r="W336" i="1"/>
  <c r="W324" i="1"/>
  <c r="W312" i="1"/>
  <c r="W300" i="1"/>
  <c r="W288" i="1"/>
  <c r="W276" i="1"/>
  <c r="X276" i="1" s="1"/>
  <c r="Y276" i="1" s="1"/>
  <c r="W264" i="1"/>
  <c r="W252" i="1"/>
  <c r="W240" i="1"/>
  <c r="W228" i="1"/>
  <c r="W216" i="1"/>
  <c r="W204" i="1"/>
  <c r="X204" i="1" s="1"/>
  <c r="Y204" i="1" s="1"/>
  <c r="W192" i="1"/>
  <c r="W180" i="1"/>
  <c r="W168" i="1"/>
  <c r="W156" i="1"/>
  <c r="W144" i="1"/>
  <c r="W132" i="1"/>
  <c r="X132" i="1" s="1"/>
  <c r="Y132" i="1" s="1"/>
  <c r="W120" i="1"/>
  <c r="W108" i="1"/>
  <c r="W96" i="1"/>
  <c r="W84" i="1"/>
  <c r="W72" i="1"/>
  <c r="W60" i="1"/>
  <c r="X60" i="1" s="1"/>
  <c r="Y60" i="1" s="1"/>
  <c r="W48" i="1"/>
  <c r="W36" i="1"/>
  <c r="W24" i="1"/>
  <c r="W12" i="1"/>
  <c r="W491" i="1"/>
  <c r="W479" i="1"/>
  <c r="W467" i="1"/>
  <c r="W455" i="1"/>
  <c r="W443" i="1"/>
  <c r="W431" i="1"/>
  <c r="W419" i="1"/>
  <c r="W407" i="1"/>
  <c r="W395" i="1"/>
  <c r="W383" i="1"/>
  <c r="W371" i="1"/>
  <c r="W359" i="1"/>
  <c r="W347" i="1"/>
  <c r="W335" i="1"/>
  <c r="W323" i="1"/>
  <c r="W311" i="1"/>
  <c r="W299" i="1"/>
  <c r="W287" i="1"/>
  <c r="W275" i="1"/>
  <c r="W263" i="1"/>
  <c r="W251" i="1"/>
  <c r="W239" i="1"/>
  <c r="W227" i="1"/>
  <c r="W215" i="1"/>
  <c r="W203" i="1"/>
  <c r="W191" i="1"/>
  <c r="W179" i="1"/>
  <c r="W167" i="1"/>
  <c r="W155" i="1"/>
  <c r="W143" i="1"/>
  <c r="W131" i="1"/>
  <c r="W119" i="1"/>
  <c r="W107" i="1"/>
  <c r="W95" i="1"/>
  <c r="W83" i="1"/>
  <c r="W71" i="1"/>
  <c r="W59" i="1"/>
  <c r="W47" i="1"/>
  <c r="W35" i="1"/>
  <c r="W23" i="1"/>
  <c r="W11" i="1"/>
  <c r="W490" i="1"/>
  <c r="W478" i="1"/>
  <c r="W466" i="1"/>
  <c r="W454" i="1"/>
  <c r="W442" i="1"/>
  <c r="W430" i="1"/>
  <c r="W418" i="1"/>
  <c r="W406" i="1"/>
  <c r="W394" i="1"/>
  <c r="W382" i="1"/>
  <c r="W370" i="1"/>
  <c r="W358" i="1"/>
  <c r="X358" i="1" s="1"/>
  <c r="Y358" i="1" s="1"/>
  <c r="W346" i="1"/>
  <c r="W334" i="1"/>
  <c r="W322" i="1"/>
  <c r="W310" i="1"/>
  <c r="W298" i="1"/>
  <c r="X298" i="1" s="1"/>
  <c r="Y298" i="1" s="1"/>
  <c r="W286" i="1"/>
  <c r="W274" i="1"/>
  <c r="W262" i="1"/>
  <c r="W250" i="1"/>
  <c r="W238" i="1"/>
  <c r="W226" i="1"/>
  <c r="X226" i="1" s="1"/>
  <c r="Y226" i="1" s="1"/>
  <c r="W214" i="1"/>
  <c r="W202" i="1"/>
  <c r="W190" i="1"/>
  <c r="X190" i="1" s="1"/>
  <c r="Y190" i="1" s="1"/>
  <c r="W178" i="1"/>
  <c r="X178" i="1" s="1"/>
  <c r="Y178" i="1" s="1"/>
  <c r="W166" i="1"/>
  <c r="W154" i="1"/>
  <c r="X154" i="1" s="1"/>
  <c r="Y154" i="1" s="1"/>
  <c r="W142" i="1"/>
  <c r="W130" i="1"/>
  <c r="W118" i="1"/>
  <c r="W106" i="1"/>
  <c r="W94" i="1"/>
  <c r="W82" i="1"/>
  <c r="X82" i="1" s="1"/>
  <c r="Y82" i="1" s="1"/>
  <c r="W70" i="1"/>
  <c r="W58" i="1"/>
  <c r="X58" i="1" s="1"/>
  <c r="Y58" i="1" s="1"/>
  <c r="W46" i="1"/>
  <c r="X46" i="1" s="1"/>
  <c r="Y46" i="1" s="1"/>
  <c r="W34" i="1"/>
  <c r="X34" i="1" s="1"/>
  <c r="Y34" i="1" s="1"/>
  <c r="W22" i="1"/>
  <c r="W10" i="1"/>
  <c r="X10" i="1" s="1"/>
  <c r="Y10" i="1" s="1"/>
  <c r="W489" i="1"/>
  <c r="X489" i="1" s="1"/>
  <c r="Y489" i="1" s="1"/>
  <c r="W477" i="1"/>
  <c r="X477" i="1" s="1"/>
  <c r="Y477" i="1" s="1"/>
  <c r="W465" i="1"/>
  <c r="X465" i="1" s="1"/>
  <c r="Y465" i="1" s="1"/>
  <c r="W453" i="1"/>
  <c r="X453" i="1" s="1"/>
  <c r="Y453" i="1" s="1"/>
  <c r="W441" i="1"/>
  <c r="X441" i="1" s="1"/>
  <c r="Y441" i="1" s="1"/>
  <c r="W429" i="1"/>
  <c r="X429" i="1" s="1"/>
  <c r="Y429" i="1" s="1"/>
  <c r="W417" i="1"/>
  <c r="X417" i="1" s="1"/>
  <c r="Y417" i="1" s="1"/>
  <c r="W405" i="1"/>
  <c r="X405" i="1" s="1"/>
  <c r="Y405" i="1" s="1"/>
  <c r="W393" i="1"/>
  <c r="X393" i="1" s="1"/>
  <c r="Y393" i="1" s="1"/>
  <c r="W381" i="1"/>
  <c r="X381" i="1" s="1"/>
  <c r="Y381" i="1" s="1"/>
  <c r="W369" i="1"/>
  <c r="X369" i="1" s="1"/>
  <c r="Y369" i="1" s="1"/>
  <c r="W357" i="1"/>
  <c r="X357" i="1" s="1"/>
  <c r="Y357" i="1" s="1"/>
  <c r="W345" i="1"/>
  <c r="X345" i="1" s="1"/>
  <c r="Y345" i="1" s="1"/>
  <c r="W333" i="1"/>
  <c r="X333" i="1" s="1"/>
  <c r="Y333" i="1" s="1"/>
  <c r="W321" i="1"/>
  <c r="X321" i="1" s="1"/>
  <c r="Y321" i="1" s="1"/>
  <c r="W309" i="1"/>
  <c r="X309" i="1" s="1"/>
  <c r="Y309" i="1" s="1"/>
  <c r="W297" i="1"/>
  <c r="X297" i="1" s="1"/>
  <c r="Y297" i="1" s="1"/>
  <c r="W285" i="1"/>
  <c r="X285" i="1" s="1"/>
  <c r="Y285" i="1" s="1"/>
  <c r="W273" i="1"/>
  <c r="X273" i="1" s="1"/>
  <c r="Y273" i="1" s="1"/>
  <c r="W261" i="1"/>
  <c r="X261" i="1" s="1"/>
  <c r="Y261" i="1" s="1"/>
  <c r="W249" i="1"/>
  <c r="X249" i="1" s="1"/>
  <c r="Y249" i="1" s="1"/>
  <c r="W237" i="1"/>
  <c r="X237" i="1" s="1"/>
  <c r="Y237" i="1" s="1"/>
  <c r="W225" i="1"/>
  <c r="X225" i="1" s="1"/>
  <c r="Y225" i="1" s="1"/>
  <c r="W213" i="1"/>
  <c r="X213" i="1" s="1"/>
  <c r="Y213" i="1" s="1"/>
  <c r="W201" i="1"/>
  <c r="X201" i="1" s="1"/>
  <c r="Y201" i="1" s="1"/>
  <c r="W189" i="1"/>
  <c r="X189" i="1" s="1"/>
  <c r="Y189" i="1" s="1"/>
  <c r="W177" i="1"/>
  <c r="X177" i="1" s="1"/>
  <c r="Y177" i="1" s="1"/>
  <c r="W165" i="1"/>
  <c r="X165" i="1" s="1"/>
  <c r="Y165" i="1" s="1"/>
  <c r="W153" i="1"/>
  <c r="X153" i="1" s="1"/>
  <c r="Y153" i="1" s="1"/>
  <c r="W141" i="1"/>
  <c r="X141" i="1" s="1"/>
  <c r="Y141" i="1" s="1"/>
  <c r="W129" i="1"/>
  <c r="X129" i="1" s="1"/>
  <c r="Y129" i="1" s="1"/>
  <c r="W117" i="1"/>
  <c r="X117" i="1" s="1"/>
  <c r="Y117" i="1" s="1"/>
  <c r="W105" i="1"/>
  <c r="X105" i="1" s="1"/>
  <c r="Y105" i="1" s="1"/>
  <c r="W93" i="1"/>
  <c r="X93" i="1" s="1"/>
  <c r="Y93" i="1" s="1"/>
  <c r="W81" i="1"/>
  <c r="X81" i="1" s="1"/>
  <c r="Y81" i="1" s="1"/>
  <c r="W69" i="1"/>
  <c r="X69" i="1" s="1"/>
  <c r="Y69" i="1" s="1"/>
  <c r="W57" i="1"/>
  <c r="X57" i="1" s="1"/>
  <c r="Y57" i="1" s="1"/>
  <c r="W45" i="1"/>
  <c r="X45" i="1" s="1"/>
  <c r="Y45" i="1" s="1"/>
  <c r="W33" i="1"/>
  <c r="X33" i="1" s="1"/>
  <c r="Y33" i="1" s="1"/>
  <c r="W21" i="1"/>
  <c r="X21" i="1" s="1"/>
  <c r="Y21" i="1" s="1"/>
  <c r="W9" i="1"/>
  <c r="X9" i="1" s="1"/>
  <c r="Y9" i="1" s="1"/>
  <c r="V448" i="1"/>
  <c r="V460" i="1"/>
  <c r="V472" i="1"/>
  <c r="V484" i="1"/>
  <c r="V496" i="1"/>
  <c r="V365" i="1"/>
  <c r="V377" i="1"/>
  <c r="V389" i="1"/>
  <c r="V401" i="1"/>
  <c r="V413" i="1"/>
  <c r="V425" i="1"/>
  <c r="V437" i="1"/>
  <c r="V449" i="1"/>
  <c r="V461" i="1"/>
  <c r="V473" i="1"/>
  <c r="V485" i="1"/>
  <c r="V497" i="1"/>
  <c r="W367" i="1"/>
  <c r="W355" i="1"/>
  <c r="W343" i="1"/>
  <c r="W331" i="1"/>
  <c r="X331" i="1" s="1"/>
  <c r="Y331" i="1" s="1"/>
  <c r="W319" i="1"/>
  <c r="X319" i="1" s="1"/>
  <c r="Y319" i="1" s="1"/>
  <c r="W307" i="1"/>
  <c r="W295" i="1"/>
  <c r="W283" i="1"/>
  <c r="W271" i="1"/>
  <c r="W259" i="1"/>
  <c r="W247" i="1"/>
  <c r="W235" i="1"/>
  <c r="X235" i="1" s="1"/>
  <c r="Y235" i="1" s="1"/>
  <c r="W223" i="1"/>
  <c r="W211" i="1"/>
  <c r="W199" i="1"/>
  <c r="W187" i="1"/>
  <c r="X187" i="1" s="1"/>
  <c r="Y187" i="1" s="1"/>
  <c r="W175" i="1"/>
  <c r="X175" i="1" s="1"/>
  <c r="Y175" i="1" s="1"/>
  <c r="W163" i="1"/>
  <c r="W151" i="1"/>
  <c r="W139" i="1"/>
  <c r="W127" i="1"/>
  <c r="W115" i="1"/>
  <c r="W103" i="1"/>
  <c r="X103" i="1" s="1"/>
  <c r="Y103" i="1" s="1"/>
  <c r="W91" i="1"/>
  <c r="X91" i="1" s="1"/>
  <c r="Y91" i="1" s="1"/>
  <c r="W79" i="1"/>
  <c r="W67" i="1"/>
  <c r="W55" i="1"/>
  <c r="W43" i="1"/>
  <c r="X43" i="1" s="1"/>
  <c r="Y43" i="1" s="1"/>
  <c r="W31" i="1"/>
  <c r="X31" i="1" s="1"/>
  <c r="Y31" i="1" s="1"/>
  <c r="W19" i="1"/>
  <c r="W7" i="1"/>
  <c r="W486" i="1"/>
  <c r="W474" i="1"/>
  <c r="W462" i="1"/>
  <c r="W450" i="1"/>
  <c r="W438" i="1"/>
  <c r="W426" i="1"/>
  <c r="W414" i="1"/>
  <c r="W402" i="1"/>
  <c r="X402" i="1" s="1"/>
  <c r="Y402" i="1" s="1"/>
  <c r="W390" i="1"/>
  <c r="W378" i="1"/>
  <c r="W366" i="1"/>
  <c r="W354" i="1"/>
  <c r="W342" i="1"/>
  <c r="W330" i="1"/>
  <c r="W318" i="1"/>
  <c r="W306" i="1"/>
  <c r="W294" i="1"/>
  <c r="W282" i="1"/>
  <c r="W270" i="1"/>
  <c r="W258" i="1"/>
  <c r="X258" i="1" s="1"/>
  <c r="Y258" i="1" s="1"/>
  <c r="W246" i="1"/>
  <c r="W234" i="1"/>
  <c r="W222" i="1"/>
  <c r="W210" i="1"/>
  <c r="W198" i="1"/>
  <c r="W186" i="1"/>
  <c r="W174" i="1"/>
  <c r="W162" i="1"/>
  <c r="W150" i="1"/>
  <c r="W138" i="1"/>
  <c r="W126" i="1"/>
  <c r="W114" i="1"/>
  <c r="X114" i="1" s="1"/>
  <c r="Y114" i="1" s="1"/>
  <c r="W102" i="1"/>
  <c r="W90" i="1"/>
  <c r="W78" i="1"/>
  <c r="W66" i="1"/>
  <c r="W54" i="1"/>
  <c r="W42" i="1"/>
  <c r="W30" i="1"/>
  <c r="W18" i="1"/>
  <c r="W6" i="1"/>
  <c r="W497" i="1"/>
  <c r="W485" i="1"/>
  <c r="W473" i="1"/>
  <c r="W461" i="1"/>
  <c r="W449" i="1"/>
  <c r="W437" i="1"/>
  <c r="W425" i="1"/>
  <c r="W413" i="1"/>
  <c r="W401" i="1"/>
  <c r="W389" i="1"/>
  <c r="W377" i="1"/>
  <c r="W365" i="1"/>
  <c r="W353" i="1"/>
  <c r="W341" i="1"/>
  <c r="W329" i="1"/>
  <c r="X329" i="1" s="1"/>
  <c r="Y329" i="1" s="1"/>
  <c r="W317" i="1"/>
  <c r="W305" i="1"/>
  <c r="W293" i="1"/>
  <c r="W281" i="1"/>
  <c r="W269" i="1"/>
  <c r="W257" i="1"/>
  <c r="X257" i="1" s="1"/>
  <c r="Y257" i="1" s="1"/>
  <c r="W245" i="1"/>
  <c r="W233" i="1"/>
  <c r="W221" i="1"/>
  <c r="W209" i="1"/>
  <c r="W197" i="1"/>
  <c r="W185" i="1"/>
  <c r="X185" i="1" s="1"/>
  <c r="Y185" i="1" s="1"/>
  <c r="W173" i="1"/>
  <c r="W161" i="1"/>
  <c r="W149" i="1"/>
  <c r="W137" i="1"/>
  <c r="W125" i="1"/>
  <c r="W113" i="1"/>
  <c r="X113" i="1" s="1"/>
  <c r="Y113" i="1" s="1"/>
  <c r="W101" i="1"/>
  <c r="W89" i="1"/>
  <c r="W77" i="1"/>
  <c r="X77" i="1" s="1"/>
  <c r="Y77" i="1" s="1"/>
  <c r="W65" i="1"/>
  <c r="W53" i="1"/>
  <c r="X53" i="1" s="1"/>
  <c r="Y53" i="1" s="1"/>
  <c r="W41" i="1"/>
  <c r="X41" i="1" s="1"/>
  <c r="Y41" i="1" s="1"/>
  <c r="W29" i="1"/>
  <c r="X29" i="1" s="1"/>
  <c r="Y29" i="1" s="1"/>
  <c r="W17" i="1"/>
  <c r="X17" i="1" s="1"/>
  <c r="Y17" i="1" s="1"/>
  <c r="W5" i="1"/>
  <c r="X5" i="1" s="1"/>
  <c r="Y5" i="1" s="1"/>
  <c r="V8" i="1"/>
  <c r="V20" i="1"/>
  <c r="V32" i="1"/>
  <c r="V44" i="1"/>
  <c r="V56" i="1"/>
  <c r="V68" i="1"/>
  <c r="V80" i="1"/>
  <c r="V92" i="1"/>
  <c r="V104" i="1"/>
  <c r="X104" i="1" s="1"/>
  <c r="Y104" i="1" s="1"/>
  <c r="V116" i="1"/>
  <c r="V128" i="1"/>
  <c r="V140" i="1"/>
  <c r="V152" i="1"/>
  <c r="V164" i="1"/>
  <c r="V176" i="1"/>
  <c r="V188" i="1"/>
  <c r="V200" i="1"/>
  <c r="V212" i="1"/>
  <c r="V224" i="1"/>
  <c r="V236" i="1"/>
  <c r="V248" i="1"/>
  <c r="X248" i="1" s="1"/>
  <c r="Y248" i="1" s="1"/>
  <c r="V260" i="1"/>
  <c r="V272" i="1"/>
  <c r="V284" i="1"/>
  <c r="V296" i="1"/>
  <c r="V308" i="1"/>
  <c r="V320" i="1"/>
  <c r="V332" i="1"/>
  <c r="V344" i="1"/>
  <c r="V356" i="1"/>
  <c r="V368" i="1"/>
  <c r="V380" i="1"/>
  <c r="V392" i="1"/>
  <c r="V404" i="1"/>
  <c r="W496" i="1"/>
  <c r="W484" i="1"/>
  <c r="W472" i="1"/>
  <c r="W460" i="1"/>
  <c r="W448" i="1"/>
  <c r="W436" i="1"/>
  <c r="W424" i="1"/>
  <c r="W412" i="1"/>
  <c r="W400" i="1"/>
  <c r="W388" i="1"/>
  <c r="W376" i="1"/>
  <c r="X376" i="1" s="1"/>
  <c r="Y376" i="1" s="1"/>
  <c r="W364" i="1"/>
  <c r="X364" i="1" s="1"/>
  <c r="Y364" i="1" s="1"/>
  <c r="W352" i="1"/>
  <c r="W340" i="1"/>
  <c r="W328" i="1"/>
  <c r="W316" i="1"/>
  <c r="W304" i="1"/>
  <c r="W292" i="1"/>
  <c r="X292" i="1" s="1"/>
  <c r="Y292" i="1" s="1"/>
  <c r="W280" i="1"/>
  <c r="W268" i="1"/>
  <c r="W256" i="1"/>
  <c r="W244" i="1"/>
  <c r="W232" i="1"/>
  <c r="X232" i="1" s="1"/>
  <c r="Y232" i="1" s="1"/>
  <c r="W220" i="1"/>
  <c r="X220" i="1" s="1"/>
  <c r="Y220" i="1" s="1"/>
  <c r="W208" i="1"/>
  <c r="W196" i="1"/>
  <c r="W184" i="1"/>
  <c r="W172" i="1"/>
  <c r="W160" i="1"/>
  <c r="W148" i="1"/>
  <c r="X148" i="1" s="1"/>
  <c r="Y148" i="1" s="1"/>
  <c r="W136" i="1"/>
  <c r="W124" i="1"/>
  <c r="W112" i="1"/>
  <c r="W100" i="1"/>
  <c r="W88" i="1"/>
  <c r="X88" i="1" s="1"/>
  <c r="Y88" i="1" s="1"/>
  <c r="W76" i="1"/>
  <c r="X76" i="1" s="1"/>
  <c r="Y76" i="1" s="1"/>
  <c r="W64" i="1"/>
  <c r="W52" i="1"/>
  <c r="W40" i="1"/>
  <c r="W28" i="1"/>
  <c r="W16" i="1"/>
  <c r="W4" i="1"/>
  <c r="X4" i="1" s="1"/>
  <c r="Y4" i="1" s="1"/>
  <c r="W495" i="1"/>
  <c r="X495" i="1" s="1"/>
  <c r="Y495" i="1" s="1"/>
  <c r="W483" i="1"/>
  <c r="X483" i="1" s="1"/>
  <c r="Y483" i="1" s="1"/>
  <c r="W471" i="1"/>
  <c r="X471" i="1" s="1"/>
  <c r="Y471" i="1" s="1"/>
  <c r="W459" i="1"/>
  <c r="X459" i="1" s="1"/>
  <c r="Y459" i="1" s="1"/>
  <c r="W447" i="1"/>
  <c r="X447" i="1" s="1"/>
  <c r="Y447" i="1" s="1"/>
  <c r="W435" i="1"/>
  <c r="X435" i="1" s="1"/>
  <c r="Y435" i="1" s="1"/>
  <c r="W423" i="1"/>
  <c r="X423" i="1" s="1"/>
  <c r="Y423" i="1" s="1"/>
  <c r="W411" i="1"/>
  <c r="X411" i="1" s="1"/>
  <c r="Y411" i="1" s="1"/>
  <c r="W399" i="1"/>
  <c r="X399" i="1" s="1"/>
  <c r="Y399" i="1" s="1"/>
  <c r="W387" i="1"/>
  <c r="X387" i="1" s="1"/>
  <c r="Y387" i="1" s="1"/>
  <c r="W375" i="1"/>
  <c r="X375" i="1" s="1"/>
  <c r="Y375" i="1" s="1"/>
  <c r="W363" i="1"/>
  <c r="X363" i="1" s="1"/>
  <c r="Y363" i="1" s="1"/>
  <c r="W351" i="1"/>
  <c r="X351" i="1" s="1"/>
  <c r="Y351" i="1" s="1"/>
  <c r="W339" i="1"/>
  <c r="X339" i="1" s="1"/>
  <c r="Y339" i="1" s="1"/>
  <c r="W327" i="1"/>
  <c r="X327" i="1" s="1"/>
  <c r="Y327" i="1" s="1"/>
  <c r="W315" i="1"/>
  <c r="X315" i="1" s="1"/>
  <c r="Y315" i="1" s="1"/>
  <c r="W303" i="1"/>
  <c r="X303" i="1" s="1"/>
  <c r="Y303" i="1" s="1"/>
  <c r="W291" i="1"/>
  <c r="X291" i="1" s="1"/>
  <c r="Y291" i="1" s="1"/>
  <c r="W279" i="1"/>
  <c r="X279" i="1" s="1"/>
  <c r="Y279" i="1" s="1"/>
  <c r="W267" i="1"/>
  <c r="X267" i="1" s="1"/>
  <c r="Y267" i="1" s="1"/>
  <c r="W255" i="1"/>
  <c r="X255" i="1" s="1"/>
  <c r="Y255" i="1" s="1"/>
  <c r="W243" i="1"/>
  <c r="X243" i="1" s="1"/>
  <c r="Y243" i="1" s="1"/>
  <c r="W231" i="1"/>
  <c r="X231" i="1" s="1"/>
  <c r="Y231" i="1" s="1"/>
  <c r="W219" i="1"/>
  <c r="X219" i="1" s="1"/>
  <c r="Y219" i="1" s="1"/>
  <c r="W207" i="1"/>
  <c r="X207" i="1" s="1"/>
  <c r="Y207" i="1" s="1"/>
  <c r="W195" i="1"/>
  <c r="X195" i="1" s="1"/>
  <c r="Y195" i="1" s="1"/>
  <c r="W183" i="1"/>
  <c r="X183" i="1" s="1"/>
  <c r="Y183" i="1" s="1"/>
  <c r="W171" i="1"/>
  <c r="X171" i="1" s="1"/>
  <c r="Y171" i="1" s="1"/>
  <c r="W159" i="1"/>
  <c r="X159" i="1" s="1"/>
  <c r="Y159" i="1" s="1"/>
  <c r="W147" i="1"/>
  <c r="X147" i="1" s="1"/>
  <c r="Y147" i="1" s="1"/>
  <c r="W135" i="1"/>
  <c r="X135" i="1" s="1"/>
  <c r="Y135" i="1" s="1"/>
  <c r="W123" i="1"/>
  <c r="X123" i="1" s="1"/>
  <c r="Y123" i="1" s="1"/>
  <c r="W111" i="1"/>
  <c r="X111" i="1" s="1"/>
  <c r="Y111" i="1" s="1"/>
  <c r="W99" i="1"/>
  <c r="X99" i="1" s="1"/>
  <c r="Y99" i="1" s="1"/>
  <c r="W87" i="1"/>
  <c r="X87" i="1" s="1"/>
  <c r="Y87" i="1" s="1"/>
  <c r="W75" i="1"/>
  <c r="X75" i="1" s="1"/>
  <c r="Y75" i="1" s="1"/>
  <c r="W63" i="1"/>
  <c r="X63" i="1" s="1"/>
  <c r="Y63" i="1" s="1"/>
  <c r="W51" i="1"/>
  <c r="X51" i="1" s="1"/>
  <c r="Y51" i="1" s="1"/>
  <c r="W39" i="1"/>
  <c r="X39" i="1" s="1"/>
  <c r="Y39" i="1" s="1"/>
  <c r="W27" i="1"/>
  <c r="X27" i="1" s="1"/>
  <c r="Y27" i="1" s="1"/>
  <c r="W15" i="1"/>
  <c r="X15" i="1" s="1"/>
  <c r="Y15" i="1" s="1"/>
  <c r="W3" i="1"/>
  <c r="X3" i="1" s="1"/>
  <c r="Y3" i="1" s="1"/>
  <c r="V445" i="1"/>
  <c r="V457" i="1"/>
  <c r="V469" i="1"/>
  <c r="V374" i="1"/>
  <c r="X374" i="1" s="1"/>
  <c r="Y374" i="1" s="1"/>
  <c r="V386" i="1"/>
  <c r="X386" i="1" s="1"/>
  <c r="Y386" i="1" s="1"/>
  <c r="V398" i="1"/>
  <c r="X398" i="1" s="1"/>
  <c r="Y398" i="1" s="1"/>
  <c r="V410" i="1"/>
  <c r="X410" i="1" s="1"/>
  <c r="Y410" i="1" s="1"/>
  <c r="V422" i="1"/>
  <c r="V446" i="1"/>
  <c r="V458" i="1"/>
  <c r="V470" i="1"/>
  <c r="V482" i="1"/>
  <c r="V494" i="1"/>
  <c r="V498" i="1"/>
  <c r="V379" i="1"/>
  <c r="X379" i="1" s="1"/>
  <c r="Y379" i="1" s="1"/>
  <c r="V468" i="1"/>
  <c r="V480" i="1"/>
  <c r="V492" i="1"/>
  <c r="V481" i="1"/>
  <c r="V493" i="1"/>
  <c r="V2" i="1"/>
  <c r="V391" i="1"/>
  <c r="V403" i="1"/>
  <c r="V415" i="1"/>
  <c r="V427" i="1"/>
  <c r="V439" i="1"/>
  <c r="V451" i="1"/>
  <c r="V463" i="1"/>
  <c r="V475" i="1"/>
  <c r="V487" i="1"/>
  <c r="V499" i="1"/>
  <c r="V416" i="1"/>
  <c r="V428" i="1"/>
  <c r="V440" i="1"/>
  <c r="V452" i="1"/>
  <c r="X452" i="1" s="1"/>
  <c r="Y452" i="1" s="1"/>
  <c r="V464" i="1"/>
  <c r="V476" i="1"/>
  <c r="V488" i="1"/>
  <c r="V500" i="1"/>
  <c r="E414" i="1"/>
  <c r="C310" i="1"/>
  <c r="C315" i="1"/>
  <c r="C357" i="1"/>
  <c r="E150" i="1"/>
  <c r="C344" i="1"/>
  <c r="E200" i="1"/>
  <c r="E180" i="1"/>
  <c r="D252" i="1"/>
  <c r="C426" i="1"/>
  <c r="E163" i="1"/>
  <c r="C237" i="1"/>
  <c r="C41" i="1"/>
  <c r="E19" i="1"/>
  <c r="C101" i="1"/>
  <c r="C280" i="1"/>
  <c r="C119" i="1"/>
  <c r="D289" i="1"/>
  <c r="D298" i="1"/>
  <c r="C225" i="1"/>
  <c r="E258" i="1"/>
  <c r="D291" i="1"/>
  <c r="C322" i="1"/>
  <c r="C390" i="1"/>
  <c r="D293" i="1"/>
  <c r="D360" i="1"/>
  <c r="C23" i="1"/>
  <c r="C102" i="1"/>
  <c r="E157" i="1"/>
  <c r="C278" i="1"/>
  <c r="D390" i="1"/>
  <c r="D413" i="1"/>
  <c r="D422" i="1"/>
  <c r="E102" i="1"/>
  <c r="D278" i="1"/>
  <c r="C47" i="1"/>
  <c r="E216" i="1"/>
  <c r="D8" i="1"/>
  <c r="D28" i="1"/>
  <c r="C301" i="1"/>
  <c r="C343" i="1"/>
  <c r="D486" i="1"/>
  <c r="C9" i="1"/>
  <c r="C419" i="1"/>
  <c r="E109" i="1"/>
  <c r="C243" i="1"/>
  <c r="E264" i="1"/>
  <c r="C314" i="1"/>
  <c r="C378" i="1"/>
  <c r="D142" i="1"/>
  <c r="C160" i="1"/>
  <c r="C170" i="1"/>
  <c r="C261" i="1"/>
  <c r="C271" i="1"/>
  <c r="C234" i="1"/>
  <c r="C17" i="1"/>
  <c r="E24" i="1"/>
  <c r="E34" i="1"/>
  <c r="E42" i="1"/>
  <c r="C84" i="1"/>
  <c r="C144" i="1"/>
  <c r="E181" i="1"/>
  <c r="D255" i="1"/>
  <c r="D273" i="1"/>
  <c r="C299" i="1"/>
  <c r="D336" i="1"/>
  <c r="E345" i="1"/>
  <c r="C363" i="1"/>
  <c r="D17" i="1"/>
  <c r="E84" i="1"/>
  <c r="E273" i="1"/>
  <c r="D299" i="1"/>
  <c r="C35" i="1"/>
  <c r="D64" i="1"/>
  <c r="D145" i="1"/>
  <c r="C155" i="1"/>
  <c r="D174" i="1"/>
  <c r="C450" i="1"/>
  <c r="D19" i="1"/>
  <c r="E36" i="1"/>
  <c r="C45" i="1"/>
  <c r="D77" i="1"/>
  <c r="C106" i="1"/>
  <c r="E138" i="1"/>
  <c r="C258" i="1"/>
  <c r="D389" i="1"/>
  <c r="E46" i="1"/>
  <c r="C100" i="1"/>
  <c r="D118" i="1"/>
  <c r="E177" i="1"/>
  <c r="C186" i="1"/>
  <c r="C286" i="1"/>
  <c r="C349" i="1"/>
  <c r="E349" i="1"/>
  <c r="C53" i="1"/>
  <c r="E67" i="1"/>
  <c r="E126" i="1"/>
  <c r="C136" i="1"/>
  <c r="E142" i="1"/>
  <c r="C206" i="1"/>
  <c r="D225" i="1"/>
  <c r="D234" i="1"/>
  <c r="C242" i="1"/>
  <c r="C249" i="1"/>
  <c r="E291" i="1"/>
  <c r="D304" i="1"/>
  <c r="D310" i="1"/>
  <c r="C324" i="1"/>
  <c r="C333" i="1"/>
  <c r="E360" i="1"/>
  <c r="D398" i="1"/>
  <c r="D53" i="1"/>
  <c r="D136" i="1"/>
  <c r="E242" i="1"/>
  <c r="D333" i="1"/>
  <c r="C18" i="1"/>
  <c r="C63" i="1"/>
  <c r="E85" i="1"/>
  <c r="C152" i="1"/>
  <c r="C169" i="1"/>
  <c r="C191" i="1"/>
  <c r="C235" i="1"/>
  <c r="C250" i="1"/>
  <c r="C263" i="1"/>
  <c r="C305" i="1"/>
  <c r="C354" i="1"/>
  <c r="C361" i="1"/>
  <c r="C367" i="1"/>
  <c r="C385" i="1"/>
  <c r="C416" i="1"/>
  <c r="C424" i="1"/>
  <c r="E18" i="1"/>
  <c r="D169" i="1"/>
  <c r="D235" i="1"/>
  <c r="D250" i="1"/>
  <c r="D263" i="1"/>
  <c r="E367" i="1"/>
  <c r="E385" i="1"/>
  <c r="C11" i="1"/>
  <c r="D26" i="1"/>
  <c r="D34" i="1"/>
  <c r="D55" i="1"/>
  <c r="C64" i="1"/>
  <c r="C70" i="1"/>
  <c r="E121" i="1"/>
  <c r="C153" i="1"/>
  <c r="C192" i="1"/>
  <c r="C228" i="1"/>
  <c r="D243" i="1"/>
  <c r="C300" i="1"/>
  <c r="E306" i="1"/>
  <c r="C335" i="1"/>
  <c r="C348" i="1"/>
  <c r="C362" i="1"/>
  <c r="C417" i="1"/>
  <c r="C425" i="1"/>
  <c r="E192" i="1"/>
  <c r="E300" i="1"/>
  <c r="D335" i="1"/>
  <c r="D362" i="1"/>
  <c r="D425" i="1"/>
  <c r="D71" i="1"/>
  <c r="C81" i="1"/>
  <c r="E88" i="1"/>
  <c r="E6" i="1"/>
  <c r="E28" i="1"/>
  <c r="D35" i="1"/>
  <c r="C58" i="1"/>
  <c r="D100" i="1"/>
  <c r="C117" i="1"/>
  <c r="C124" i="1"/>
  <c r="C171" i="1"/>
  <c r="C224" i="1"/>
  <c r="C246" i="1"/>
  <c r="E252" i="1"/>
  <c r="C259" i="1"/>
  <c r="C282" i="1"/>
  <c r="C297" i="1"/>
  <c r="D322" i="1"/>
  <c r="D344" i="1"/>
  <c r="C371" i="1"/>
  <c r="C388" i="1"/>
  <c r="C438" i="1"/>
  <c r="C52" i="1"/>
  <c r="C66" i="1"/>
  <c r="C83" i="1"/>
  <c r="E124" i="1"/>
  <c r="C156" i="1"/>
  <c r="E171" i="1"/>
  <c r="C187" i="1"/>
  <c r="D205" i="1"/>
  <c r="E224" i="1"/>
  <c r="D267" i="1"/>
  <c r="D282" i="1"/>
  <c r="C290" i="1"/>
  <c r="E309" i="1"/>
  <c r="C316" i="1"/>
  <c r="E381" i="1"/>
  <c r="C396" i="1"/>
  <c r="C414" i="1"/>
  <c r="D495" i="1"/>
  <c r="C29" i="1"/>
  <c r="C36" i="1"/>
  <c r="D52" i="1"/>
  <c r="E66" i="1"/>
  <c r="C118" i="1"/>
  <c r="C135" i="1"/>
  <c r="C180" i="1"/>
  <c r="E205" i="1"/>
  <c r="D253" i="1"/>
  <c r="C298" i="1"/>
  <c r="D316" i="1"/>
  <c r="C345" i="1"/>
  <c r="C372" i="1"/>
  <c r="C389" i="1"/>
  <c r="C406" i="1"/>
  <c r="C462" i="1"/>
  <c r="C2" i="1"/>
  <c r="C30" i="1"/>
  <c r="D41" i="1"/>
  <c r="D73" i="1"/>
  <c r="D80" i="1"/>
  <c r="C90" i="1"/>
  <c r="E96" i="1"/>
  <c r="C107" i="1"/>
  <c r="C113" i="1"/>
  <c r="E145" i="1"/>
  <c r="D152" i="1"/>
  <c r="E156" i="1"/>
  <c r="C161" i="1"/>
  <c r="C165" i="1"/>
  <c r="C182" i="1"/>
  <c r="D187" i="1"/>
  <c r="C198" i="1"/>
  <c r="C202" i="1"/>
  <c r="E207" i="1"/>
  <c r="C214" i="1"/>
  <c r="C218" i="1"/>
  <c r="C260" i="1"/>
  <c r="C265" i="1"/>
  <c r="D286" i="1"/>
  <c r="D290" i="1"/>
  <c r="C295" i="1"/>
  <c r="E304" i="1"/>
  <c r="E315" i="1"/>
  <c r="D325" i="1"/>
  <c r="C332" i="1"/>
  <c r="C337" i="1"/>
  <c r="C342" i="1"/>
  <c r="D351" i="1"/>
  <c r="E361" i="1"/>
  <c r="D372" i="1"/>
  <c r="C379" i="1"/>
  <c r="D396" i="1"/>
  <c r="C407" i="1"/>
  <c r="E432" i="1"/>
  <c r="C470" i="1"/>
  <c r="E480" i="1"/>
  <c r="D489" i="1"/>
  <c r="D498" i="1"/>
  <c r="E30" i="1"/>
  <c r="E73" i="1"/>
  <c r="E90" i="1"/>
  <c r="D107" i="1"/>
  <c r="D113" i="1"/>
  <c r="D161" i="1"/>
  <c r="D165" i="1"/>
  <c r="E182" i="1"/>
  <c r="E198" i="1"/>
  <c r="D202" i="1"/>
  <c r="D214" i="1"/>
  <c r="E218" i="1"/>
  <c r="D265" i="1"/>
  <c r="D295" i="1"/>
  <c r="D337" i="1"/>
  <c r="D342" i="1"/>
  <c r="E351" i="1"/>
  <c r="E379" i="1"/>
  <c r="D407" i="1"/>
  <c r="E489" i="1"/>
  <c r="E498" i="1"/>
  <c r="C4" i="1"/>
  <c r="C10" i="1"/>
  <c r="C16" i="1"/>
  <c r="C48" i="1"/>
  <c r="C59" i="1"/>
  <c r="D70" i="1"/>
  <c r="D91" i="1"/>
  <c r="D98" i="1"/>
  <c r="C108" i="1"/>
  <c r="E114" i="1"/>
  <c r="C125" i="1"/>
  <c r="C131" i="1"/>
  <c r="C162" i="1"/>
  <c r="C178" i="1"/>
  <c r="C189" i="1"/>
  <c r="C193" i="1"/>
  <c r="C199" i="1"/>
  <c r="C215" i="1"/>
  <c r="D232" i="1"/>
  <c r="C256" i="1"/>
  <c r="C352" i="1"/>
  <c r="C380" i="1"/>
  <c r="C397" i="1"/>
  <c r="C403" i="1"/>
  <c r="C408" i="1"/>
  <c r="C434" i="1"/>
  <c r="E444" i="1"/>
  <c r="C482" i="1"/>
  <c r="D10" i="1"/>
  <c r="D16" i="1"/>
  <c r="C27" i="1"/>
  <c r="D37" i="1"/>
  <c r="E48" i="1"/>
  <c r="D59" i="1"/>
  <c r="C82" i="1"/>
  <c r="E91" i="1"/>
  <c r="E103" i="1"/>
  <c r="E108" i="1"/>
  <c r="C120" i="1"/>
  <c r="D125" i="1"/>
  <c r="D131" i="1"/>
  <c r="C154" i="1"/>
  <c r="C158" i="1"/>
  <c r="E162" i="1"/>
  <c r="D178" i="1"/>
  <c r="C184" i="1"/>
  <c r="D189" i="1"/>
  <c r="E193" i="1"/>
  <c r="E199" i="1"/>
  <c r="C210" i="1"/>
  <c r="E215" i="1"/>
  <c r="E232" i="1"/>
  <c r="C262" i="1"/>
  <c r="C272" i="1"/>
  <c r="C288" i="1"/>
  <c r="D380" i="1"/>
  <c r="E397" i="1"/>
  <c r="E403" i="1"/>
  <c r="D408" i="1"/>
  <c r="C5" i="1"/>
  <c r="E37" i="1"/>
  <c r="D44" i="1"/>
  <c r="C54" i="1"/>
  <c r="C65" i="1"/>
  <c r="D82" i="1"/>
  <c r="C88" i="1"/>
  <c r="C99" i="1"/>
  <c r="E120" i="1"/>
  <c r="C143" i="1"/>
  <c r="C149" i="1"/>
  <c r="D154" i="1"/>
  <c r="D158" i="1"/>
  <c r="E184" i="1"/>
  <c r="D210" i="1"/>
  <c r="E220" i="1"/>
  <c r="C245" i="1"/>
  <c r="C257" i="1"/>
  <c r="D262" i="1"/>
  <c r="C279" i="1"/>
  <c r="C283" i="1"/>
  <c r="D288" i="1"/>
  <c r="D297" i="1"/>
  <c r="D301" i="1"/>
  <c r="C323" i="1"/>
  <c r="C328" i="1"/>
  <c r="C334" i="1"/>
  <c r="C339" i="1"/>
  <c r="E343" i="1"/>
  <c r="E348" i="1"/>
  <c r="C353" i="1"/>
  <c r="D359" i="1"/>
  <c r="C415" i="1"/>
  <c r="C421" i="1"/>
  <c r="D426" i="1"/>
  <c r="C474" i="1"/>
  <c r="D5" i="1"/>
  <c r="C22" i="1"/>
  <c r="E49" i="1"/>
  <c r="E54" i="1"/>
  <c r="E60" i="1"/>
  <c r="C71" i="1"/>
  <c r="C77" i="1"/>
  <c r="D109" i="1"/>
  <c r="D116" i="1"/>
  <c r="C126" i="1"/>
  <c r="E132" i="1"/>
  <c r="C138" i="1"/>
  <c r="D143" i="1"/>
  <c r="D149" i="1"/>
  <c r="D163" i="1"/>
  <c r="C174" i="1"/>
  <c r="E190" i="1"/>
  <c r="C200" i="1"/>
  <c r="C216" i="1"/>
  <c r="C267" i="1"/>
  <c r="E279" i="1"/>
  <c r="D283" i="1"/>
  <c r="C293" i="1"/>
  <c r="E313" i="1"/>
  <c r="D323" i="1"/>
  <c r="E328" i="1"/>
  <c r="E339" i="1"/>
  <c r="D353" i="1"/>
  <c r="E363" i="1"/>
  <c r="C370" i="1"/>
  <c r="D377" i="1"/>
  <c r="C381" i="1"/>
  <c r="C398" i="1"/>
  <c r="D404" i="1"/>
  <c r="E415" i="1"/>
  <c r="E421" i="1"/>
  <c r="C446" i="1"/>
  <c r="E456" i="1"/>
  <c r="C12" i="1"/>
  <c r="D23" i="1"/>
  <c r="C40" i="1"/>
  <c r="C46" i="1"/>
  <c r="E55" i="1"/>
  <c r="D62" i="1"/>
  <c r="C72" i="1"/>
  <c r="E78" i="1"/>
  <c r="C89" i="1"/>
  <c r="C95" i="1"/>
  <c r="D106" i="1"/>
  <c r="D127" i="1"/>
  <c r="D134" i="1"/>
  <c r="E139" i="1"/>
  <c r="E144" i="1"/>
  <c r="D155" i="1"/>
  <c r="D160" i="1"/>
  <c r="C164" i="1"/>
  <c r="E175" i="1"/>
  <c r="E186" i="1"/>
  <c r="E191" i="1"/>
  <c r="C201" i="1"/>
  <c r="D213" i="1"/>
  <c r="D217" i="1"/>
  <c r="C229" i="1"/>
  <c r="D268" i="1"/>
  <c r="D280" i="1"/>
  <c r="E289" i="1"/>
  <c r="C294" i="1"/>
  <c r="C309" i="1"/>
  <c r="D314" i="1"/>
  <c r="D324" i="1"/>
  <c r="D354" i="1"/>
  <c r="D371" i="1"/>
  <c r="D378" i="1"/>
  <c r="D395" i="1"/>
  <c r="C399" i="1"/>
  <c r="D416" i="1"/>
  <c r="C458" i="1"/>
  <c r="E468" i="1"/>
  <c r="E12" i="1"/>
  <c r="E72" i="1"/>
  <c r="D89" i="1"/>
  <c r="D95" i="1"/>
  <c r="E127" i="1"/>
  <c r="E164" i="1"/>
  <c r="D201" i="1"/>
  <c r="E213" i="1"/>
  <c r="E217" i="1"/>
  <c r="D229" i="1"/>
  <c r="E294" i="1"/>
  <c r="E399" i="1"/>
  <c r="E2" i="1"/>
  <c r="C6" i="1"/>
  <c r="D13" i="1"/>
  <c r="D20" i="1"/>
  <c r="C24" i="1"/>
  <c r="D31" i="1"/>
  <c r="D38" i="1"/>
  <c r="C42" i="1"/>
  <c r="D49" i="1"/>
  <c r="D56" i="1"/>
  <c r="C60" i="1"/>
  <c r="D67" i="1"/>
  <c r="D74" i="1"/>
  <c r="C78" i="1"/>
  <c r="D85" i="1"/>
  <c r="D92" i="1"/>
  <c r="C96" i="1"/>
  <c r="D103" i="1"/>
  <c r="D110" i="1"/>
  <c r="C114" i="1"/>
  <c r="D121" i="1"/>
  <c r="D128" i="1"/>
  <c r="C132" i="1"/>
  <c r="D139" i="1"/>
  <c r="D146" i="1"/>
  <c r="C150" i="1"/>
  <c r="D157" i="1"/>
  <c r="E168" i="1"/>
  <c r="E172" i="1"/>
  <c r="D177" i="1"/>
  <c r="D181" i="1"/>
  <c r="D190" i="1"/>
  <c r="D194" i="1"/>
  <c r="C194" i="1"/>
  <c r="D203" i="1"/>
  <c r="C203" i="1"/>
  <c r="C207" i="1"/>
  <c r="E211" i="1"/>
  <c r="C220" i="1"/>
  <c r="D230" i="1"/>
  <c r="C230" i="1"/>
  <c r="D254" i="1"/>
  <c r="E13" i="1"/>
  <c r="E31" i="1"/>
  <c r="D173" i="1"/>
  <c r="C173" i="1"/>
  <c r="D212" i="1"/>
  <c r="E212" i="1"/>
  <c r="E270" i="1"/>
  <c r="C270" i="1"/>
  <c r="C276" i="1"/>
  <c r="D276" i="1"/>
  <c r="E276" i="1"/>
  <c r="E285" i="1"/>
  <c r="D285" i="1"/>
  <c r="C285" i="1"/>
  <c r="E303" i="1"/>
  <c r="D303" i="1"/>
  <c r="E319" i="1"/>
  <c r="D319" i="1"/>
  <c r="C3" i="1"/>
  <c r="C21" i="1"/>
  <c r="C39" i="1"/>
  <c r="C57" i="1"/>
  <c r="C75" i="1"/>
  <c r="C93" i="1"/>
  <c r="C111" i="1"/>
  <c r="C129" i="1"/>
  <c r="C147" i="1"/>
  <c r="E173" i="1"/>
  <c r="C212" i="1"/>
  <c r="D221" i="1"/>
  <c r="C221" i="1"/>
  <c r="E231" i="1"/>
  <c r="D231" i="1"/>
  <c r="C231" i="1"/>
  <c r="D241" i="1"/>
  <c r="E251" i="1"/>
  <c r="C251" i="1"/>
  <c r="D270" i="1"/>
  <c r="C303" i="1"/>
  <c r="C319" i="1"/>
  <c r="D394" i="1"/>
  <c r="C394" i="1"/>
  <c r="E437" i="1"/>
  <c r="D437" i="1"/>
  <c r="C437" i="1"/>
  <c r="E466" i="1"/>
  <c r="D466" i="1"/>
  <c r="C466" i="1"/>
  <c r="E3" i="1"/>
  <c r="C7" i="1"/>
  <c r="C14" i="1"/>
  <c r="E21" i="1"/>
  <c r="C25" i="1"/>
  <c r="C32" i="1"/>
  <c r="E39" i="1"/>
  <c r="C43" i="1"/>
  <c r="C50" i="1"/>
  <c r="E57" i="1"/>
  <c r="C61" i="1"/>
  <c r="C68" i="1"/>
  <c r="E75" i="1"/>
  <c r="C79" i="1"/>
  <c r="C86" i="1"/>
  <c r="E93" i="1"/>
  <c r="C97" i="1"/>
  <c r="C104" i="1"/>
  <c r="E111" i="1"/>
  <c r="C115" i="1"/>
  <c r="C122" i="1"/>
  <c r="E129" i="1"/>
  <c r="C133" i="1"/>
  <c r="C140" i="1"/>
  <c r="E147" i="1"/>
  <c r="C151" i="1"/>
  <c r="D195" i="1"/>
  <c r="D204" i="1"/>
  <c r="D208" i="1"/>
  <c r="E221" i="1"/>
  <c r="E226" i="1"/>
  <c r="C226" i="1"/>
  <c r="C236" i="1"/>
  <c r="E241" i="1"/>
  <c r="D251" i="1"/>
  <c r="C277" i="1"/>
  <c r="E394" i="1"/>
  <c r="D7" i="1"/>
  <c r="D14" i="1"/>
  <c r="D25" i="1"/>
  <c r="D32" i="1"/>
  <c r="D43" i="1"/>
  <c r="D50" i="1"/>
  <c r="D61" i="1"/>
  <c r="D68" i="1"/>
  <c r="D79" i="1"/>
  <c r="D86" i="1"/>
  <c r="D97" i="1"/>
  <c r="D104" i="1"/>
  <c r="D115" i="1"/>
  <c r="D122" i="1"/>
  <c r="D133" i="1"/>
  <c r="D140" i="1"/>
  <c r="D151" i="1"/>
  <c r="E195" i="1"/>
  <c r="E204" i="1"/>
  <c r="E208" i="1"/>
  <c r="E222" i="1"/>
  <c r="D222" i="1"/>
  <c r="E236" i="1"/>
  <c r="E277" i="1"/>
  <c r="E331" i="1"/>
  <c r="C331" i="1"/>
  <c r="C76" i="1"/>
  <c r="C94" i="1"/>
  <c r="C112" i="1"/>
  <c r="C130" i="1"/>
  <c r="C137" i="1"/>
  <c r="C148" i="1"/>
  <c r="C166" i="1"/>
  <c r="E183" i="1"/>
  <c r="C183" i="1"/>
  <c r="E196" i="1"/>
  <c r="C196" i="1"/>
  <c r="D209" i="1"/>
  <c r="C209" i="1"/>
  <c r="C222" i="1"/>
  <c r="D227" i="1"/>
  <c r="E227" i="1"/>
  <c r="C247" i="1"/>
  <c r="D331" i="1"/>
  <c r="E383" i="1"/>
  <c r="D383" i="1"/>
  <c r="C383" i="1"/>
  <c r="D4" i="1"/>
  <c r="D11" i="1"/>
  <c r="C15" i="1"/>
  <c r="D22" i="1"/>
  <c r="D29" i="1"/>
  <c r="C33" i="1"/>
  <c r="D40" i="1"/>
  <c r="D47" i="1"/>
  <c r="C51" i="1"/>
  <c r="D58" i="1"/>
  <c r="D65" i="1"/>
  <c r="C69" i="1"/>
  <c r="D76" i="1"/>
  <c r="D83" i="1"/>
  <c r="C87" i="1"/>
  <c r="D94" i="1"/>
  <c r="D101" i="1"/>
  <c r="C105" i="1"/>
  <c r="D112" i="1"/>
  <c r="D119" i="1"/>
  <c r="C123" i="1"/>
  <c r="D130" i="1"/>
  <c r="D137" i="1"/>
  <c r="C141" i="1"/>
  <c r="D148" i="1"/>
  <c r="C159" i="1"/>
  <c r="D166" i="1"/>
  <c r="C179" i="1"/>
  <c r="D183" i="1"/>
  <c r="D188" i="1"/>
  <c r="E188" i="1"/>
  <c r="D196" i="1"/>
  <c r="E209" i="1"/>
  <c r="C227" i="1"/>
  <c r="D233" i="1"/>
  <c r="C233" i="1"/>
  <c r="D247" i="1"/>
  <c r="E287" i="1"/>
  <c r="C287" i="1"/>
  <c r="D287" i="1"/>
  <c r="E296" i="1"/>
  <c r="D296" i="1"/>
  <c r="C296" i="1"/>
  <c r="C8" i="1"/>
  <c r="E15" i="1"/>
  <c r="C26" i="1"/>
  <c r="E33" i="1"/>
  <c r="C44" i="1"/>
  <c r="E51" i="1"/>
  <c r="C62" i="1"/>
  <c r="E69" i="1"/>
  <c r="C80" i="1"/>
  <c r="E87" i="1"/>
  <c r="C98" i="1"/>
  <c r="E105" i="1"/>
  <c r="C116" i="1"/>
  <c r="E123" i="1"/>
  <c r="C134" i="1"/>
  <c r="E141" i="1"/>
  <c r="E159" i="1"/>
  <c r="C175" i="1"/>
  <c r="E179" i="1"/>
  <c r="C188" i="1"/>
  <c r="D197" i="1"/>
  <c r="E197" i="1"/>
  <c r="D223" i="1"/>
  <c r="E233" i="1"/>
  <c r="E238" i="1"/>
  <c r="D238" i="1"/>
  <c r="E248" i="1"/>
  <c r="D248" i="1"/>
  <c r="C248" i="1"/>
  <c r="D167" i="1"/>
  <c r="C167" i="1"/>
  <c r="E223" i="1"/>
  <c r="D292" i="1"/>
  <c r="E292" i="1"/>
  <c r="C292" i="1"/>
  <c r="E311" i="1"/>
  <c r="D311" i="1"/>
  <c r="C311" i="1"/>
  <c r="D373" i="1"/>
  <c r="E373" i="1"/>
  <c r="C373" i="1"/>
  <c r="D176" i="1"/>
  <c r="E176" i="1"/>
  <c r="E219" i="1"/>
  <c r="C219" i="1"/>
  <c r="D239" i="1"/>
  <c r="C239" i="1"/>
  <c r="C327" i="1"/>
  <c r="E327" i="1"/>
  <c r="D327" i="1"/>
  <c r="D185" i="1"/>
  <c r="C185" i="1"/>
  <c r="E244" i="1"/>
  <c r="C244" i="1"/>
  <c r="D307" i="1"/>
  <c r="E307" i="1"/>
  <c r="C307" i="1"/>
  <c r="E368" i="1"/>
  <c r="C368" i="1"/>
  <c r="D368" i="1"/>
  <c r="E9" i="1"/>
  <c r="C20" i="1"/>
  <c r="E27" i="1"/>
  <c r="C38" i="1"/>
  <c r="E45" i="1"/>
  <c r="C56" i="1"/>
  <c r="E63" i="1"/>
  <c r="C74" i="1"/>
  <c r="E81" i="1"/>
  <c r="C92" i="1"/>
  <c r="E99" i="1"/>
  <c r="C110" i="1"/>
  <c r="E117" i="1"/>
  <c r="C128" i="1"/>
  <c r="E135" i="1"/>
  <c r="C146" i="1"/>
  <c r="E153" i="1"/>
  <c r="D168" i="1"/>
  <c r="D172" i="1"/>
  <c r="E185" i="1"/>
  <c r="C211" i="1"/>
  <c r="E240" i="1"/>
  <c r="D240" i="1"/>
  <c r="D244" i="1"/>
  <c r="C254" i="1"/>
  <c r="E274" i="1"/>
  <c r="D274" i="1"/>
  <c r="C274" i="1"/>
  <c r="E269" i="1"/>
  <c r="D269" i="1"/>
  <c r="E284" i="1"/>
  <c r="D284" i="1"/>
  <c r="D306" i="1"/>
  <c r="E326" i="1"/>
  <c r="C326" i="1"/>
  <c r="E330" i="1"/>
  <c r="D358" i="1"/>
  <c r="C358" i="1"/>
  <c r="D382" i="1"/>
  <c r="E382" i="1"/>
  <c r="E266" i="1"/>
  <c r="C266" i="1"/>
  <c r="E281" i="1"/>
  <c r="C281" i="1"/>
  <c r="D340" i="1"/>
  <c r="C340" i="1"/>
  <c r="E374" i="1"/>
  <c r="D374" i="1"/>
  <c r="C374" i="1"/>
  <c r="E405" i="1"/>
  <c r="C405" i="1"/>
  <c r="D411" i="1"/>
  <c r="C411" i="1"/>
  <c r="E369" i="1"/>
  <c r="C369" i="1"/>
  <c r="D384" i="1"/>
  <c r="C384" i="1"/>
  <c r="E429" i="1"/>
  <c r="D429" i="1"/>
  <c r="C429" i="1"/>
  <c r="E170" i="1"/>
  <c r="E206" i="1"/>
  <c r="D237" i="1"/>
  <c r="E255" i="1"/>
  <c r="D259" i="1"/>
  <c r="E308" i="1"/>
  <c r="C308" i="1"/>
  <c r="D312" i="1"/>
  <c r="E320" i="1"/>
  <c r="D320" i="1"/>
  <c r="D332" i="1"/>
  <c r="E336" i="1"/>
  <c r="E341" i="1"/>
  <c r="C341" i="1"/>
  <c r="D364" i="1"/>
  <c r="E364" i="1"/>
  <c r="D369" i="1"/>
  <c r="C375" i="1"/>
  <c r="E384" i="1"/>
  <c r="D412" i="1"/>
  <c r="E412" i="1"/>
  <c r="C412" i="1"/>
  <c r="E423" i="1"/>
  <c r="D423" i="1"/>
  <c r="C423" i="1"/>
  <c r="E430" i="1"/>
  <c r="D430" i="1"/>
  <c r="C430" i="1"/>
  <c r="E478" i="1"/>
  <c r="D478" i="1"/>
  <c r="C478" i="1"/>
  <c r="E312" i="1"/>
  <c r="E350" i="1"/>
  <c r="C350" i="1"/>
  <c r="E375" i="1"/>
  <c r="D400" i="1"/>
  <c r="E400" i="1"/>
  <c r="C400" i="1"/>
  <c r="D355" i="1"/>
  <c r="E355" i="1"/>
  <c r="C355" i="1"/>
  <c r="E365" i="1"/>
  <c r="D365" i="1"/>
  <c r="D376" i="1"/>
  <c r="C376" i="1"/>
  <c r="E401" i="1"/>
  <c r="D401" i="1"/>
  <c r="E245" i="1"/>
  <c r="D249" i="1"/>
  <c r="E256" i="1"/>
  <c r="D260" i="1"/>
  <c r="C264" i="1"/>
  <c r="E271" i="1"/>
  <c r="C275" i="1"/>
  <c r="C313" i="1"/>
  <c r="C321" i="1"/>
  <c r="E329" i="1"/>
  <c r="D329" i="1"/>
  <c r="D346" i="1"/>
  <c r="E346" i="1"/>
  <c r="E356" i="1"/>
  <c r="D356" i="1"/>
  <c r="C356" i="1"/>
  <c r="C365" i="1"/>
  <c r="E376" i="1"/>
  <c r="C401" i="1"/>
  <c r="D418" i="1"/>
  <c r="E418" i="1"/>
  <c r="C418" i="1"/>
  <c r="E442" i="1"/>
  <c r="D442" i="1"/>
  <c r="C442" i="1"/>
  <c r="D275" i="1"/>
  <c r="E317" i="1"/>
  <c r="C317" i="1"/>
  <c r="E321" i="1"/>
  <c r="D366" i="1"/>
  <c r="C366" i="1"/>
  <c r="E386" i="1"/>
  <c r="C386" i="1"/>
  <c r="D391" i="1"/>
  <c r="E391" i="1"/>
  <c r="C391" i="1"/>
  <c r="E402" i="1"/>
  <c r="D402" i="1"/>
  <c r="C402" i="1"/>
  <c r="E338" i="1"/>
  <c r="C338" i="1"/>
  <c r="E347" i="1"/>
  <c r="D347" i="1"/>
  <c r="E392" i="1"/>
  <c r="D392" i="1"/>
  <c r="C392" i="1"/>
  <c r="D228" i="1"/>
  <c r="D246" i="1"/>
  <c r="E253" i="1"/>
  <c r="D257" i="1"/>
  <c r="D261" i="1"/>
  <c r="E268" i="1"/>
  <c r="D272" i="1"/>
  <c r="E302" i="1"/>
  <c r="C302" i="1"/>
  <c r="E318" i="1"/>
  <c r="C318" i="1"/>
  <c r="E325" i="1"/>
  <c r="C330" i="1"/>
  <c r="E334" i="1"/>
  <c r="D338" i="1"/>
  <c r="C347" i="1"/>
  <c r="E357" i="1"/>
  <c r="E387" i="1"/>
  <c r="C387" i="1"/>
  <c r="D393" i="1"/>
  <c r="C393" i="1"/>
  <c r="E454" i="1"/>
  <c r="D454" i="1"/>
  <c r="C454" i="1"/>
  <c r="E491" i="1"/>
  <c r="D491" i="1"/>
  <c r="C491" i="1"/>
  <c r="D419" i="1"/>
  <c r="D434" i="1"/>
  <c r="D438" i="1"/>
  <c r="D446" i="1"/>
  <c r="D450" i="1"/>
  <c r="D458" i="1"/>
  <c r="D462" i="1"/>
  <c r="D470" i="1"/>
  <c r="D474" i="1"/>
  <c r="D482" i="1"/>
  <c r="E486" i="1"/>
  <c r="E495" i="1"/>
  <c r="E487" i="1"/>
  <c r="D487" i="1"/>
  <c r="E496" i="1"/>
  <c r="D496" i="1"/>
  <c r="C409" i="1"/>
  <c r="C420" i="1"/>
  <c r="C427" i="1"/>
  <c r="C431" i="1"/>
  <c r="C435" i="1"/>
  <c r="E439" i="1"/>
  <c r="D439" i="1"/>
  <c r="C443" i="1"/>
  <c r="C447" i="1"/>
  <c r="E451" i="1"/>
  <c r="D451" i="1"/>
  <c r="C455" i="1"/>
  <c r="C459" i="1"/>
  <c r="E463" i="1"/>
  <c r="D463" i="1"/>
  <c r="C467" i="1"/>
  <c r="C471" i="1"/>
  <c r="E475" i="1"/>
  <c r="D475" i="1"/>
  <c r="C479" i="1"/>
  <c r="C483" i="1"/>
  <c r="C487" i="1"/>
  <c r="C492" i="1"/>
  <c r="C496" i="1"/>
  <c r="C359" i="1"/>
  <c r="C377" i="1"/>
  <c r="C395" i="1"/>
  <c r="E409" i="1"/>
  <c r="C413" i="1"/>
  <c r="D420" i="1"/>
  <c r="E427" i="1"/>
  <c r="D431" i="1"/>
  <c r="D435" i="1"/>
  <c r="C439" i="1"/>
  <c r="D443" i="1"/>
  <c r="D447" i="1"/>
  <c r="C451" i="1"/>
  <c r="D455" i="1"/>
  <c r="D459" i="1"/>
  <c r="C463" i="1"/>
  <c r="D467" i="1"/>
  <c r="D471" i="1"/>
  <c r="C475" i="1"/>
  <c r="D479" i="1"/>
  <c r="D483" i="1"/>
  <c r="E488" i="1"/>
  <c r="D488" i="1"/>
  <c r="D492" i="1"/>
  <c r="E497" i="1"/>
  <c r="D497" i="1"/>
  <c r="C488" i="1"/>
  <c r="C497" i="1"/>
  <c r="D305" i="1"/>
  <c r="E352" i="1"/>
  <c r="E370" i="1"/>
  <c r="E388" i="1"/>
  <c r="E406" i="1"/>
  <c r="C410" i="1"/>
  <c r="D417" i="1"/>
  <c r="E424" i="1"/>
  <c r="C428" i="1"/>
  <c r="C432" i="1"/>
  <c r="E436" i="1"/>
  <c r="D436" i="1"/>
  <c r="C440" i="1"/>
  <c r="C444" i="1"/>
  <c r="E448" i="1"/>
  <c r="D448" i="1"/>
  <c r="C452" i="1"/>
  <c r="C456" i="1"/>
  <c r="E460" i="1"/>
  <c r="D460" i="1"/>
  <c r="C464" i="1"/>
  <c r="C468" i="1"/>
  <c r="E472" i="1"/>
  <c r="D472" i="1"/>
  <c r="C476" i="1"/>
  <c r="C480" i="1"/>
  <c r="E484" i="1"/>
  <c r="D484" i="1"/>
  <c r="E493" i="1"/>
  <c r="D493" i="1"/>
  <c r="D410" i="1"/>
  <c r="D428" i="1"/>
  <c r="C436" i="1"/>
  <c r="D440" i="1"/>
  <c r="C448" i="1"/>
  <c r="D452" i="1"/>
  <c r="C460" i="1"/>
  <c r="D464" i="1"/>
  <c r="C472" i="1"/>
  <c r="D476" i="1"/>
  <c r="C484" i="1"/>
  <c r="C493" i="1"/>
  <c r="E485" i="1"/>
  <c r="D485" i="1"/>
  <c r="E494" i="1"/>
  <c r="D494" i="1"/>
  <c r="E433" i="1"/>
  <c r="D433" i="1"/>
  <c r="C441" i="1"/>
  <c r="E445" i="1"/>
  <c r="D445" i="1"/>
  <c r="C449" i="1"/>
  <c r="C453" i="1"/>
  <c r="E457" i="1"/>
  <c r="D457" i="1"/>
  <c r="C461" i="1"/>
  <c r="C465" i="1"/>
  <c r="E469" i="1"/>
  <c r="D469" i="1"/>
  <c r="C473" i="1"/>
  <c r="C477" i="1"/>
  <c r="E481" i="1"/>
  <c r="D481" i="1"/>
  <c r="C485" i="1"/>
  <c r="C494" i="1"/>
  <c r="C404" i="1"/>
  <c r="C422" i="1"/>
  <c r="C433" i="1"/>
  <c r="D441" i="1"/>
  <c r="C445" i="1"/>
  <c r="D449" i="1"/>
  <c r="D453" i="1"/>
  <c r="C457" i="1"/>
  <c r="D461" i="1"/>
  <c r="D465" i="1"/>
  <c r="C469" i="1"/>
  <c r="D473" i="1"/>
  <c r="D477" i="1"/>
  <c r="C481" i="1"/>
  <c r="E490" i="1"/>
  <c r="D490" i="1"/>
  <c r="C490" i="1"/>
  <c r="C499" i="1"/>
  <c r="D499" i="1"/>
  <c r="C500" i="1"/>
  <c r="D500" i="1"/>
  <c r="X202" i="1" l="1"/>
  <c r="Y202" i="1" s="1"/>
  <c r="AB135" i="1"/>
  <c r="AC135" i="1"/>
  <c r="AB64" i="1"/>
  <c r="AC64" i="1"/>
  <c r="AB496" i="1"/>
  <c r="AC496" i="1"/>
  <c r="AB425" i="1"/>
  <c r="AC425" i="1"/>
  <c r="AB66" i="1"/>
  <c r="AC66" i="1"/>
  <c r="AB498" i="1"/>
  <c r="AC498" i="1"/>
  <c r="AB427" i="1"/>
  <c r="AC427" i="1"/>
  <c r="AB356" i="1"/>
  <c r="AC356" i="1"/>
  <c r="AB141" i="1"/>
  <c r="AC141" i="1"/>
  <c r="AB429" i="1"/>
  <c r="AC429" i="1"/>
  <c r="AB446" i="1"/>
  <c r="AC446" i="1"/>
  <c r="AB3" i="1"/>
  <c r="AC3" i="1"/>
  <c r="AB147" i="1"/>
  <c r="AC147" i="1"/>
  <c r="AB291" i="1"/>
  <c r="AC291" i="1"/>
  <c r="AB435" i="1"/>
  <c r="AC435" i="1"/>
  <c r="AB76" i="1"/>
  <c r="AC76" i="1"/>
  <c r="AB220" i="1"/>
  <c r="AC220" i="1"/>
  <c r="AB364" i="1"/>
  <c r="AC364" i="1"/>
  <c r="AB5" i="1"/>
  <c r="AC5" i="1"/>
  <c r="AB149" i="1"/>
  <c r="AC149" i="1"/>
  <c r="AB293" i="1"/>
  <c r="AC293" i="1"/>
  <c r="AB437" i="1"/>
  <c r="AC437" i="1"/>
  <c r="AB78" i="1"/>
  <c r="AC78" i="1"/>
  <c r="AB222" i="1"/>
  <c r="AC222" i="1"/>
  <c r="AB366" i="1"/>
  <c r="AC366" i="1"/>
  <c r="AB7" i="1"/>
  <c r="AC7" i="1"/>
  <c r="AB151" i="1"/>
  <c r="AC151" i="1"/>
  <c r="AB295" i="1"/>
  <c r="AC295" i="1"/>
  <c r="AB439" i="1"/>
  <c r="AC439" i="1"/>
  <c r="AB80" i="1"/>
  <c r="AC80" i="1"/>
  <c r="AB224" i="1"/>
  <c r="AC224" i="1"/>
  <c r="AB368" i="1"/>
  <c r="AC368" i="1"/>
  <c r="AB9" i="1"/>
  <c r="AC9" i="1"/>
  <c r="AB153" i="1"/>
  <c r="AC153" i="1"/>
  <c r="AB297" i="1"/>
  <c r="AC297" i="1"/>
  <c r="AB441" i="1"/>
  <c r="AC441" i="1"/>
  <c r="AB34" i="1"/>
  <c r="AC34" i="1"/>
  <c r="AB178" i="1"/>
  <c r="AC178" i="1"/>
  <c r="AB322" i="1"/>
  <c r="AC322" i="1"/>
  <c r="AB466" i="1"/>
  <c r="AC466" i="1"/>
  <c r="AB119" i="1"/>
  <c r="AC119" i="1"/>
  <c r="AB263" i="1"/>
  <c r="AC263" i="1"/>
  <c r="AB407" i="1"/>
  <c r="AC407" i="1"/>
  <c r="AB60" i="1"/>
  <c r="AC60" i="1"/>
  <c r="AB204" i="1"/>
  <c r="AC204" i="1"/>
  <c r="AB348" i="1"/>
  <c r="AC348" i="1"/>
  <c r="AB492" i="1"/>
  <c r="AC492" i="1"/>
  <c r="AB373" i="1"/>
  <c r="AC373" i="1"/>
  <c r="AB26" i="1"/>
  <c r="AC26" i="1"/>
  <c r="AB170" i="1"/>
  <c r="AC170" i="1"/>
  <c r="AB314" i="1"/>
  <c r="AC314" i="1"/>
  <c r="AB458" i="1"/>
  <c r="AC458" i="1"/>
  <c r="AB193" i="1"/>
  <c r="AC193" i="1"/>
  <c r="AB279" i="1"/>
  <c r="AC279" i="1"/>
  <c r="AB352" i="1"/>
  <c r="AC352" i="1"/>
  <c r="AB281" i="1"/>
  <c r="AC281" i="1"/>
  <c r="AB210" i="1"/>
  <c r="AC210" i="1"/>
  <c r="AB139" i="1"/>
  <c r="AC139" i="1"/>
  <c r="AB283" i="1"/>
  <c r="AC283" i="1"/>
  <c r="AB68" i="1"/>
  <c r="AC68" i="1"/>
  <c r="AB212" i="1"/>
  <c r="AC212" i="1"/>
  <c r="AB500" i="1"/>
  <c r="AC500" i="1"/>
  <c r="AB285" i="1"/>
  <c r="AC285" i="1"/>
  <c r="AB22" i="1"/>
  <c r="AC22" i="1"/>
  <c r="AB166" i="1"/>
  <c r="AC166" i="1"/>
  <c r="AB310" i="1"/>
  <c r="AC310" i="1"/>
  <c r="AB454" i="1"/>
  <c r="AC454" i="1"/>
  <c r="AB107" i="1"/>
  <c r="AC107" i="1"/>
  <c r="AB251" i="1"/>
  <c r="AC251" i="1"/>
  <c r="AB49" i="1"/>
  <c r="AC49" i="1"/>
  <c r="X14" i="1"/>
  <c r="Y14" i="1" s="1"/>
  <c r="AB15" i="1"/>
  <c r="AC15" i="1"/>
  <c r="AB159" i="1"/>
  <c r="AC159" i="1"/>
  <c r="AB303" i="1"/>
  <c r="AC303" i="1"/>
  <c r="AB447" i="1"/>
  <c r="AC447" i="1"/>
  <c r="AB88" i="1"/>
  <c r="AC88" i="1"/>
  <c r="AB232" i="1"/>
  <c r="AC232" i="1"/>
  <c r="AB376" i="1"/>
  <c r="AC376" i="1"/>
  <c r="AB17" i="1"/>
  <c r="AC17" i="1"/>
  <c r="AB161" i="1"/>
  <c r="AC161" i="1"/>
  <c r="AB305" i="1"/>
  <c r="AC305" i="1"/>
  <c r="AB449" i="1"/>
  <c r="AC449" i="1"/>
  <c r="AB90" i="1"/>
  <c r="AC90" i="1"/>
  <c r="AB234" i="1"/>
  <c r="AC234" i="1"/>
  <c r="AB378" i="1"/>
  <c r="AC378" i="1"/>
  <c r="AB19" i="1"/>
  <c r="AC19" i="1"/>
  <c r="AB163" i="1"/>
  <c r="AC163" i="1"/>
  <c r="AB307" i="1"/>
  <c r="AC307" i="1"/>
  <c r="AB451" i="1"/>
  <c r="AC451" i="1"/>
  <c r="AB92" i="1"/>
  <c r="AC92" i="1"/>
  <c r="AB236" i="1"/>
  <c r="AC236" i="1"/>
  <c r="AB380" i="1"/>
  <c r="AC380" i="1"/>
  <c r="AB21" i="1"/>
  <c r="AC21" i="1"/>
  <c r="AB165" i="1"/>
  <c r="AC165" i="1"/>
  <c r="AB309" i="1"/>
  <c r="AC309" i="1"/>
  <c r="AB453" i="1"/>
  <c r="AC453" i="1"/>
  <c r="AB46" i="1"/>
  <c r="AC46" i="1"/>
  <c r="AB190" i="1"/>
  <c r="AC190" i="1"/>
  <c r="AB334" i="1"/>
  <c r="AC334" i="1"/>
  <c r="AB478" i="1"/>
  <c r="AC478" i="1"/>
  <c r="AB131" i="1"/>
  <c r="AC131" i="1"/>
  <c r="AB275" i="1"/>
  <c r="AC275" i="1"/>
  <c r="AB419" i="1"/>
  <c r="AC419" i="1"/>
  <c r="AB72" i="1"/>
  <c r="AC72" i="1"/>
  <c r="AB216" i="1"/>
  <c r="AC216" i="1"/>
  <c r="AB360" i="1"/>
  <c r="AC360" i="1"/>
  <c r="AB241" i="1"/>
  <c r="AC241" i="1"/>
  <c r="AB385" i="1"/>
  <c r="AC385" i="1"/>
  <c r="AB38" i="1"/>
  <c r="AC38" i="1"/>
  <c r="AB182" i="1"/>
  <c r="AC182" i="1"/>
  <c r="AB326" i="1"/>
  <c r="AC326" i="1"/>
  <c r="AB470" i="1"/>
  <c r="AC470" i="1"/>
  <c r="AB61" i="1"/>
  <c r="AC61" i="1"/>
  <c r="AB423" i="1"/>
  <c r="AC423" i="1"/>
  <c r="AB137" i="1"/>
  <c r="AC137" i="1"/>
  <c r="AB354" i="1"/>
  <c r="AC354" i="1"/>
  <c r="AB302" i="1"/>
  <c r="AC302" i="1"/>
  <c r="AB27" i="1"/>
  <c r="AC27" i="1"/>
  <c r="AB171" i="1"/>
  <c r="AC171" i="1"/>
  <c r="AB315" i="1"/>
  <c r="AC315" i="1"/>
  <c r="AB459" i="1"/>
  <c r="AC459" i="1"/>
  <c r="AB100" i="1"/>
  <c r="AC100" i="1"/>
  <c r="AB244" i="1"/>
  <c r="AC244" i="1"/>
  <c r="AB388" i="1"/>
  <c r="AC388" i="1"/>
  <c r="AB29" i="1"/>
  <c r="AC29" i="1"/>
  <c r="AB173" i="1"/>
  <c r="AC173" i="1"/>
  <c r="AB317" i="1"/>
  <c r="AC317" i="1"/>
  <c r="AB461" i="1"/>
  <c r="AC461" i="1"/>
  <c r="AB102" i="1"/>
  <c r="AC102" i="1"/>
  <c r="AB246" i="1"/>
  <c r="AC246" i="1"/>
  <c r="AB390" i="1"/>
  <c r="AC390" i="1"/>
  <c r="AB31" i="1"/>
  <c r="AC31" i="1"/>
  <c r="AB175" i="1"/>
  <c r="AC175" i="1"/>
  <c r="AB319" i="1"/>
  <c r="AC319" i="1"/>
  <c r="AB463" i="1"/>
  <c r="AC463" i="1"/>
  <c r="AB104" i="1"/>
  <c r="AC104" i="1"/>
  <c r="AB248" i="1"/>
  <c r="AC248" i="1"/>
  <c r="AB392" i="1"/>
  <c r="AC392" i="1"/>
  <c r="AB33" i="1"/>
  <c r="AC33" i="1"/>
  <c r="AB177" i="1"/>
  <c r="AC177" i="1"/>
  <c r="AB321" i="1"/>
  <c r="AC321" i="1"/>
  <c r="AB465" i="1"/>
  <c r="AC465" i="1"/>
  <c r="AB58" i="1"/>
  <c r="AC58" i="1"/>
  <c r="AB202" i="1"/>
  <c r="AC202" i="1"/>
  <c r="AB346" i="1"/>
  <c r="AC346" i="1"/>
  <c r="AB490" i="1"/>
  <c r="AC490" i="1"/>
  <c r="AB143" i="1"/>
  <c r="AC143" i="1"/>
  <c r="AB287" i="1"/>
  <c r="AC287" i="1"/>
  <c r="AB431" i="1"/>
  <c r="AC431" i="1"/>
  <c r="AB84" i="1"/>
  <c r="AC84" i="1"/>
  <c r="AB228" i="1"/>
  <c r="AC228" i="1"/>
  <c r="AB372" i="1"/>
  <c r="AC372" i="1"/>
  <c r="AB253" i="1"/>
  <c r="AC253" i="1"/>
  <c r="AB397" i="1"/>
  <c r="AC397" i="1"/>
  <c r="AB50" i="1"/>
  <c r="AC50" i="1"/>
  <c r="AB194" i="1"/>
  <c r="AC194" i="1"/>
  <c r="AB338" i="1"/>
  <c r="AC338" i="1"/>
  <c r="AB482" i="1"/>
  <c r="AC482" i="1"/>
  <c r="AB205" i="1"/>
  <c r="AC205" i="1"/>
  <c r="AB336" i="1"/>
  <c r="AC336" i="1"/>
  <c r="AB39" i="1"/>
  <c r="AC39" i="1"/>
  <c r="AB183" i="1"/>
  <c r="AC183" i="1"/>
  <c r="AB327" i="1"/>
  <c r="AC327" i="1"/>
  <c r="AB471" i="1"/>
  <c r="AC471" i="1"/>
  <c r="AB112" i="1"/>
  <c r="AC112" i="1"/>
  <c r="AB256" i="1"/>
  <c r="AC256" i="1"/>
  <c r="AB400" i="1"/>
  <c r="AC400" i="1"/>
  <c r="AB41" i="1"/>
  <c r="AC41" i="1"/>
  <c r="AB185" i="1"/>
  <c r="AC185" i="1"/>
  <c r="AB329" i="1"/>
  <c r="AC329" i="1"/>
  <c r="AB473" i="1"/>
  <c r="AC473" i="1"/>
  <c r="AB114" i="1"/>
  <c r="AC114" i="1"/>
  <c r="AB258" i="1"/>
  <c r="AC258" i="1"/>
  <c r="AB402" i="1"/>
  <c r="AC402" i="1"/>
  <c r="AB43" i="1"/>
  <c r="AC43" i="1"/>
  <c r="AB187" i="1"/>
  <c r="AC187" i="1"/>
  <c r="AB331" i="1"/>
  <c r="AC331" i="1"/>
  <c r="AB475" i="1"/>
  <c r="AC475" i="1"/>
  <c r="AB116" i="1"/>
  <c r="AC116" i="1"/>
  <c r="AB260" i="1"/>
  <c r="AC260" i="1"/>
  <c r="AB404" i="1"/>
  <c r="AC404" i="1"/>
  <c r="AB45" i="1"/>
  <c r="AC45" i="1"/>
  <c r="AB189" i="1"/>
  <c r="AC189" i="1"/>
  <c r="AB333" i="1"/>
  <c r="AC333" i="1"/>
  <c r="AB477" i="1"/>
  <c r="AC477" i="1"/>
  <c r="AB70" i="1"/>
  <c r="AC70" i="1"/>
  <c r="AB214" i="1"/>
  <c r="AC214" i="1"/>
  <c r="AB358" i="1"/>
  <c r="AC358" i="1"/>
  <c r="AB11" i="1"/>
  <c r="AC11" i="1"/>
  <c r="AB155" i="1"/>
  <c r="AC155" i="1"/>
  <c r="AB299" i="1"/>
  <c r="AC299" i="1"/>
  <c r="AB443" i="1"/>
  <c r="AC443" i="1"/>
  <c r="AB96" i="1"/>
  <c r="AC96" i="1"/>
  <c r="AB240" i="1"/>
  <c r="AC240" i="1"/>
  <c r="AB384" i="1"/>
  <c r="AC384" i="1"/>
  <c r="AB265" i="1"/>
  <c r="AC265" i="1"/>
  <c r="AB409" i="1"/>
  <c r="AC409" i="1"/>
  <c r="AB62" i="1"/>
  <c r="AC62" i="1"/>
  <c r="AB206" i="1"/>
  <c r="AC206" i="1"/>
  <c r="AB350" i="1"/>
  <c r="AC350" i="1"/>
  <c r="AB494" i="1"/>
  <c r="AC494" i="1"/>
  <c r="AB73" i="1"/>
  <c r="AC73" i="1"/>
  <c r="AB480" i="1"/>
  <c r="AC480" i="1"/>
  <c r="AB51" i="1"/>
  <c r="AC51" i="1"/>
  <c r="AB195" i="1"/>
  <c r="AC195" i="1"/>
  <c r="AB339" i="1"/>
  <c r="AC339" i="1"/>
  <c r="AB483" i="1"/>
  <c r="AC483" i="1"/>
  <c r="AB124" i="1"/>
  <c r="AC124" i="1"/>
  <c r="AB268" i="1"/>
  <c r="AC268" i="1"/>
  <c r="AB412" i="1"/>
  <c r="AC412" i="1"/>
  <c r="AB53" i="1"/>
  <c r="AC53" i="1"/>
  <c r="AB197" i="1"/>
  <c r="AC197" i="1"/>
  <c r="AB341" i="1"/>
  <c r="AC341" i="1"/>
  <c r="AB485" i="1"/>
  <c r="AC485" i="1"/>
  <c r="AB126" i="1"/>
  <c r="AC126" i="1"/>
  <c r="AB270" i="1"/>
  <c r="AC270" i="1"/>
  <c r="AB414" i="1"/>
  <c r="AC414" i="1"/>
  <c r="AB55" i="1"/>
  <c r="AC55" i="1"/>
  <c r="AB199" i="1"/>
  <c r="AC199" i="1"/>
  <c r="AB343" i="1"/>
  <c r="AC343" i="1"/>
  <c r="AB487" i="1"/>
  <c r="AC487" i="1"/>
  <c r="AB128" i="1"/>
  <c r="AC128" i="1"/>
  <c r="AB272" i="1"/>
  <c r="AC272" i="1"/>
  <c r="AB416" i="1"/>
  <c r="AC416" i="1"/>
  <c r="AB57" i="1"/>
  <c r="AC57" i="1"/>
  <c r="AB201" i="1"/>
  <c r="AC201" i="1"/>
  <c r="AB345" i="1"/>
  <c r="AC345" i="1"/>
  <c r="AB489" i="1"/>
  <c r="AC489" i="1"/>
  <c r="AB82" i="1"/>
  <c r="AC82" i="1"/>
  <c r="AB226" i="1"/>
  <c r="AC226" i="1"/>
  <c r="AB370" i="1"/>
  <c r="AC370" i="1"/>
  <c r="AB23" i="1"/>
  <c r="AC23" i="1"/>
  <c r="AB167" i="1"/>
  <c r="AC167" i="1"/>
  <c r="AB311" i="1"/>
  <c r="AC311" i="1"/>
  <c r="AB455" i="1"/>
  <c r="AC455" i="1"/>
  <c r="AB108" i="1"/>
  <c r="AC108" i="1"/>
  <c r="AB252" i="1"/>
  <c r="AC252" i="1"/>
  <c r="AB396" i="1"/>
  <c r="AC396" i="1"/>
  <c r="AB277" i="1"/>
  <c r="AC277" i="1"/>
  <c r="AB421" i="1"/>
  <c r="AC421" i="1"/>
  <c r="AB74" i="1"/>
  <c r="AC74" i="1"/>
  <c r="AB218" i="1"/>
  <c r="AC218" i="1"/>
  <c r="AB362" i="1"/>
  <c r="AC362" i="1"/>
  <c r="AB145" i="1"/>
  <c r="AC145" i="1"/>
  <c r="AB217" i="1"/>
  <c r="AC217" i="1"/>
  <c r="AB208" i="1"/>
  <c r="AC208" i="1"/>
  <c r="AB14" i="1"/>
  <c r="AC14" i="1"/>
  <c r="AB63" i="1"/>
  <c r="AC63" i="1"/>
  <c r="AB207" i="1"/>
  <c r="AC207" i="1"/>
  <c r="AB351" i="1"/>
  <c r="AC351" i="1"/>
  <c r="AB495" i="1"/>
  <c r="AC495" i="1"/>
  <c r="AB136" i="1"/>
  <c r="AC136" i="1"/>
  <c r="AB280" i="1"/>
  <c r="AC280" i="1"/>
  <c r="AB424" i="1"/>
  <c r="AC424" i="1"/>
  <c r="AB65" i="1"/>
  <c r="AC65" i="1"/>
  <c r="AB209" i="1"/>
  <c r="AC209" i="1"/>
  <c r="AB353" i="1"/>
  <c r="AC353" i="1"/>
  <c r="AB497" i="1"/>
  <c r="AC497" i="1"/>
  <c r="AB138" i="1"/>
  <c r="AC138" i="1"/>
  <c r="AB282" i="1"/>
  <c r="AC282" i="1"/>
  <c r="AB426" i="1"/>
  <c r="AC426" i="1"/>
  <c r="AB67" i="1"/>
  <c r="AC67" i="1"/>
  <c r="AB211" i="1"/>
  <c r="AC211" i="1"/>
  <c r="AB355" i="1"/>
  <c r="AC355" i="1"/>
  <c r="AB499" i="1"/>
  <c r="AC499" i="1"/>
  <c r="AB140" i="1"/>
  <c r="AC140" i="1"/>
  <c r="AB284" i="1"/>
  <c r="AC284" i="1"/>
  <c r="AB428" i="1"/>
  <c r="AC428" i="1"/>
  <c r="AB69" i="1"/>
  <c r="AC69" i="1"/>
  <c r="AB213" i="1"/>
  <c r="AC213" i="1"/>
  <c r="AB357" i="1"/>
  <c r="AC357" i="1"/>
  <c r="AB94" i="1"/>
  <c r="AC94" i="1"/>
  <c r="AB238" i="1"/>
  <c r="AC238" i="1"/>
  <c r="AB382" i="1"/>
  <c r="AC382" i="1"/>
  <c r="AB35" i="1"/>
  <c r="AC35" i="1"/>
  <c r="AB179" i="1"/>
  <c r="AC179" i="1"/>
  <c r="AB323" i="1"/>
  <c r="AC323" i="1"/>
  <c r="AB467" i="1"/>
  <c r="AC467" i="1"/>
  <c r="AB120" i="1"/>
  <c r="AC120" i="1"/>
  <c r="AB264" i="1"/>
  <c r="AC264" i="1"/>
  <c r="AB408" i="1"/>
  <c r="AC408" i="1"/>
  <c r="AB289" i="1"/>
  <c r="AC289" i="1"/>
  <c r="AB433" i="1"/>
  <c r="AC433" i="1"/>
  <c r="AB86" i="1"/>
  <c r="AC86" i="1"/>
  <c r="AB230" i="1"/>
  <c r="AC230" i="1"/>
  <c r="AB374" i="1"/>
  <c r="AC374" i="1"/>
  <c r="AB13" i="1"/>
  <c r="AC13" i="1"/>
  <c r="AB229" i="1"/>
  <c r="AC229" i="1"/>
  <c r="AB361" i="1"/>
  <c r="AC361" i="1"/>
  <c r="X19" i="1"/>
  <c r="Y19" i="1" s="1"/>
  <c r="X163" i="1"/>
  <c r="Y163" i="1" s="1"/>
  <c r="X307" i="1"/>
  <c r="Y307" i="1" s="1"/>
  <c r="X106" i="1"/>
  <c r="Y106" i="1" s="1"/>
  <c r="X250" i="1"/>
  <c r="Y250" i="1" s="1"/>
  <c r="AB75" i="1"/>
  <c r="AC75" i="1"/>
  <c r="AB219" i="1"/>
  <c r="AC219" i="1"/>
  <c r="AB363" i="1"/>
  <c r="AC363" i="1"/>
  <c r="AB4" i="1"/>
  <c r="AC4" i="1"/>
  <c r="AB148" i="1"/>
  <c r="AC148" i="1"/>
  <c r="AB292" i="1"/>
  <c r="AC292" i="1"/>
  <c r="AB436" i="1"/>
  <c r="AC436" i="1"/>
  <c r="AB77" i="1"/>
  <c r="AC77" i="1"/>
  <c r="AB221" i="1"/>
  <c r="AC221" i="1"/>
  <c r="AB365" i="1"/>
  <c r="AC365" i="1"/>
  <c r="AB6" i="1"/>
  <c r="AC6" i="1"/>
  <c r="AB150" i="1"/>
  <c r="AC150" i="1"/>
  <c r="AB294" i="1"/>
  <c r="AC294" i="1"/>
  <c r="AB438" i="1"/>
  <c r="AC438" i="1"/>
  <c r="AB79" i="1"/>
  <c r="AC79" i="1"/>
  <c r="AB223" i="1"/>
  <c r="AC223" i="1"/>
  <c r="AB367" i="1"/>
  <c r="AC367" i="1"/>
  <c r="AB8" i="1"/>
  <c r="AC8" i="1"/>
  <c r="AB152" i="1"/>
  <c r="AC152" i="1"/>
  <c r="AB296" i="1"/>
  <c r="AC296" i="1"/>
  <c r="AB440" i="1"/>
  <c r="AC440" i="1"/>
  <c r="AB81" i="1"/>
  <c r="AC81" i="1"/>
  <c r="AB225" i="1"/>
  <c r="AC225" i="1"/>
  <c r="AB369" i="1"/>
  <c r="AC369" i="1"/>
  <c r="AB106" i="1"/>
  <c r="AC106" i="1"/>
  <c r="AB250" i="1"/>
  <c r="AC250" i="1"/>
  <c r="AB394" i="1"/>
  <c r="AC394" i="1"/>
  <c r="AB47" i="1"/>
  <c r="AC47" i="1"/>
  <c r="AB191" i="1"/>
  <c r="AC191" i="1"/>
  <c r="AB335" i="1"/>
  <c r="AC335" i="1"/>
  <c r="AB479" i="1"/>
  <c r="AC479" i="1"/>
  <c r="AB132" i="1"/>
  <c r="AC132" i="1"/>
  <c r="AB276" i="1"/>
  <c r="AC276" i="1"/>
  <c r="AB420" i="1"/>
  <c r="AC420" i="1"/>
  <c r="AB301" i="1"/>
  <c r="AC301" i="1"/>
  <c r="AB445" i="1"/>
  <c r="AC445" i="1"/>
  <c r="AB98" i="1"/>
  <c r="AC98" i="1"/>
  <c r="AB242" i="1"/>
  <c r="AC242" i="1"/>
  <c r="AB386" i="1"/>
  <c r="AC386" i="1"/>
  <c r="AB157" i="1"/>
  <c r="AC157" i="1"/>
  <c r="AB97" i="1"/>
  <c r="AC97" i="1"/>
  <c r="AB158" i="1"/>
  <c r="AC158" i="1"/>
  <c r="AB87" i="1"/>
  <c r="AC87" i="1"/>
  <c r="AB231" i="1"/>
  <c r="AC231" i="1"/>
  <c r="AB375" i="1"/>
  <c r="AC375" i="1"/>
  <c r="AB16" i="1"/>
  <c r="AC16" i="1"/>
  <c r="AB160" i="1"/>
  <c r="AC160" i="1"/>
  <c r="AB304" i="1"/>
  <c r="AC304" i="1"/>
  <c r="AB448" i="1"/>
  <c r="AC448" i="1"/>
  <c r="AB89" i="1"/>
  <c r="AC89" i="1"/>
  <c r="AB233" i="1"/>
  <c r="AC233" i="1"/>
  <c r="AB377" i="1"/>
  <c r="AC377" i="1"/>
  <c r="AB18" i="1"/>
  <c r="AC18" i="1"/>
  <c r="AB162" i="1"/>
  <c r="AC162" i="1"/>
  <c r="AB306" i="1"/>
  <c r="AC306" i="1"/>
  <c r="AB450" i="1"/>
  <c r="AC450" i="1"/>
  <c r="AB91" i="1"/>
  <c r="AC91" i="1"/>
  <c r="AB235" i="1"/>
  <c r="AC235" i="1"/>
  <c r="AB379" i="1"/>
  <c r="AC379" i="1"/>
  <c r="AB20" i="1"/>
  <c r="AC20" i="1"/>
  <c r="AB164" i="1"/>
  <c r="AC164" i="1"/>
  <c r="AB308" i="1"/>
  <c r="AC308" i="1"/>
  <c r="AB452" i="1"/>
  <c r="AC452" i="1"/>
  <c r="AB93" i="1"/>
  <c r="AC93" i="1"/>
  <c r="AB237" i="1"/>
  <c r="AC237" i="1"/>
  <c r="AB381" i="1"/>
  <c r="AC381" i="1"/>
  <c r="AB118" i="1"/>
  <c r="AC118" i="1"/>
  <c r="AB262" i="1"/>
  <c r="AC262" i="1"/>
  <c r="AB406" i="1"/>
  <c r="AC406" i="1"/>
  <c r="AB59" i="1"/>
  <c r="AC59" i="1"/>
  <c r="AB203" i="1"/>
  <c r="AC203" i="1"/>
  <c r="AB347" i="1"/>
  <c r="AC347" i="1"/>
  <c r="AB491" i="1"/>
  <c r="AC491" i="1"/>
  <c r="AB144" i="1"/>
  <c r="AC144" i="1"/>
  <c r="AB288" i="1"/>
  <c r="AC288" i="1"/>
  <c r="AB432" i="1"/>
  <c r="AC432" i="1"/>
  <c r="AB313" i="1"/>
  <c r="AC313" i="1"/>
  <c r="AB457" i="1"/>
  <c r="AC457" i="1"/>
  <c r="AB110" i="1"/>
  <c r="AC110" i="1"/>
  <c r="AB254" i="1"/>
  <c r="AC254" i="1"/>
  <c r="AB398" i="1"/>
  <c r="AC398" i="1"/>
  <c r="AB25" i="1"/>
  <c r="AC25" i="1"/>
  <c r="AB109" i="1"/>
  <c r="AC109" i="1"/>
  <c r="AB192" i="1"/>
  <c r="AC192" i="1"/>
  <c r="AB99" i="1"/>
  <c r="AC99" i="1"/>
  <c r="AB243" i="1"/>
  <c r="AC243" i="1"/>
  <c r="AB387" i="1"/>
  <c r="AC387" i="1"/>
  <c r="AB28" i="1"/>
  <c r="AC28" i="1"/>
  <c r="AB172" i="1"/>
  <c r="AC172" i="1"/>
  <c r="AB316" i="1"/>
  <c r="AC316" i="1"/>
  <c r="AB460" i="1"/>
  <c r="AC460" i="1"/>
  <c r="AB101" i="1"/>
  <c r="AC101" i="1"/>
  <c r="AB245" i="1"/>
  <c r="AC245" i="1"/>
  <c r="AB389" i="1"/>
  <c r="AC389" i="1"/>
  <c r="AB30" i="1"/>
  <c r="AC30" i="1"/>
  <c r="AB174" i="1"/>
  <c r="AC174" i="1"/>
  <c r="AB318" i="1"/>
  <c r="AC318" i="1"/>
  <c r="AB462" i="1"/>
  <c r="AC462" i="1"/>
  <c r="AB103" i="1"/>
  <c r="AC103" i="1"/>
  <c r="AB247" i="1"/>
  <c r="AC247" i="1"/>
  <c r="AB391" i="1"/>
  <c r="AC391" i="1"/>
  <c r="AB32" i="1"/>
  <c r="AC32" i="1"/>
  <c r="AB176" i="1"/>
  <c r="AC176" i="1"/>
  <c r="AB320" i="1"/>
  <c r="AC320" i="1"/>
  <c r="AB464" i="1"/>
  <c r="AC464" i="1"/>
  <c r="AB105" i="1"/>
  <c r="AC105" i="1"/>
  <c r="AB249" i="1"/>
  <c r="AC249" i="1"/>
  <c r="AB393" i="1"/>
  <c r="AC393" i="1"/>
  <c r="AB130" i="1"/>
  <c r="AC130" i="1"/>
  <c r="AB274" i="1"/>
  <c r="AC274" i="1"/>
  <c r="AB418" i="1"/>
  <c r="AC418" i="1"/>
  <c r="AB71" i="1"/>
  <c r="AC71" i="1"/>
  <c r="AB215" i="1"/>
  <c r="AC215" i="1"/>
  <c r="AB359" i="1"/>
  <c r="AC359" i="1"/>
  <c r="AB12" i="1"/>
  <c r="AC12" i="1"/>
  <c r="AB156" i="1"/>
  <c r="AC156" i="1"/>
  <c r="AB300" i="1"/>
  <c r="AC300" i="1"/>
  <c r="AB444" i="1"/>
  <c r="AC444" i="1"/>
  <c r="AB325" i="1"/>
  <c r="AC325" i="1"/>
  <c r="AB469" i="1"/>
  <c r="AC469" i="1"/>
  <c r="AB122" i="1"/>
  <c r="AC122" i="1"/>
  <c r="AB266" i="1"/>
  <c r="AC266" i="1"/>
  <c r="AB410" i="1"/>
  <c r="AC410" i="1"/>
  <c r="AB169" i="1"/>
  <c r="AC169" i="1"/>
  <c r="AB121" i="1"/>
  <c r="AC121" i="1"/>
  <c r="AB48" i="1"/>
  <c r="AC48" i="1"/>
  <c r="X24" i="1"/>
  <c r="Y24" i="1" s="1"/>
  <c r="X168" i="1"/>
  <c r="Y168" i="1" s="1"/>
  <c r="X312" i="1"/>
  <c r="Y312" i="1" s="1"/>
  <c r="X456" i="1"/>
  <c r="Y456" i="1" s="1"/>
  <c r="AB111" i="1"/>
  <c r="AC111" i="1"/>
  <c r="AB255" i="1"/>
  <c r="AC255" i="1"/>
  <c r="AB399" i="1"/>
  <c r="AC399" i="1"/>
  <c r="AB40" i="1"/>
  <c r="AC40" i="1"/>
  <c r="AB184" i="1"/>
  <c r="AC184" i="1"/>
  <c r="AB328" i="1"/>
  <c r="AC328" i="1"/>
  <c r="AB472" i="1"/>
  <c r="AC472" i="1"/>
  <c r="AB113" i="1"/>
  <c r="AC113" i="1"/>
  <c r="AB257" i="1"/>
  <c r="AC257" i="1"/>
  <c r="AB401" i="1"/>
  <c r="AC401" i="1"/>
  <c r="AB42" i="1"/>
  <c r="AC42" i="1"/>
  <c r="AB186" i="1"/>
  <c r="AC186" i="1"/>
  <c r="AB330" i="1"/>
  <c r="AC330" i="1"/>
  <c r="AB474" i="1"/>
  <c r="AC474" i="1"/>
  <c r="AB115" i="1"/>
  <c r="AC115" i="1"/>
  <c r="AB259" i="1"/>
  <c r="AC259" i="1"/>
  <c r="AB403" i="1"/>
  <c r="AC403" i="1"/>
  <c r="AB44" i="1"/>
  <c r="AC44" i="1"/>
  <c r="AB188" i="1"/>
  <c r="AC188" i="1"/>
  <c r="AB332" i="1"/>
  <c r="AC332" i="1"/>
  <c r="AB476" i="1"/>
  <c r="AC476" i="1"/>
  <c r="AB117" i="1"/>
  <c r="AC117" i="1"/>
  <c r="AB261" i="1"/>
  <c r="AC261" i="1"/>
  <c r="AB405" i="1"/>
  <c r="AC405" i="1"/>
  <c r="AB142" i="1"/>
  <c r="AC142" i="1"/>
  <c r="AB286" i="1"/>
  <c r="AC286" i="1"/>
  <c r="AB430" i="1"/>
  <c r="AC430" i="1"/>
  <c r="AB83" i="1"/>
  <c r="AC83" i="1"/>
  <c r="AB227" i="1"/>
  <c r="AC227" i="1"/>
  <c r="AB371" i="1"/>
  <c r="AC371" i="1"/>
  <c r="AB24" i="1"/>
  <c r="AC24" i="1"/>
  <c r="AB168" i="1"/>
  <c r="AC168" i="1"/>
  <c r="AB312" i="1"/>
  <c r="AC312" i="1"/>
  <c r="AB456" i="1"/>
  <c r="AC456" i="1"/>
  <c r="AB337" i="1"/>
  <c r="AC337" i="1"/>
  <c r="AB481" i="1"/>
  <c r="AC481" i="1"/>
  <c r="AB134" i="1"/>
  <c r="AC134" i="1"/>
  <c r="AB278" i="1"/>
  <c r="AC278" i="1"/>
  <c r="AB422" i="1"/>
  <c r="AC422" i="1"/>
  <c r="AB37" i="1"/>
  <c r="AC37" i="1"/>
  <c r="AB133" i="1"/>
  <c r="AC133" i="1"/>
  <c r="AB395" i="1"/>
  <c r="AC395" i="1"/>
  <c r="AB123" i="1"/>
  <c r="AC123" i="1"/>
  <c r="AB267" i="1"/>
  <c r="AC267" i="1"/>
  <c r="AB411" i="1"/>
  <c r="AC411" i="1"/>
  <c r="AB52" i="1"/>
  <c r="AC52" i="1"/>
  <c r="AB196" i="1"/>
  <c r="AC196" i="1"/>
  <c r="AB340" i="1"/>
  <c r="AC340" i="1"/>
  <c r="AB484" i="1"/>
  <c r="AC484" i="1"/>
  <c r="AB125" i="1"/>
  <c r="AC125" i="1"/>
  <c r="AB269" i="1"/>
  <c r="AC269" i="1"/>
  <c r="AB413" i="1"/>
  <c r="AC413" i="1"/>
  <c r="AB54" i="1"/>
  <c r="AC54" i="1"/>
  <c r="AB198" i="1"/>
  <c r="AC198" i="1"/>
  <c r="AB342" i="1"/>
  <c r="AC342" i="1"/>
  <c r="AB486" i="1"/>
  <c r="AC486" i="1"/>
  <c r="AB127" i="1"/>
  <c r="AC127" i="1"/>
  <c r="AB271" i="1"/>
  <c r="AC271" i="1"/>
  <c r="AB415" i="1"/>
  <c r="AC415" i="1"/>
  <c r="AB56" i="1"/>
  <c r="AC56" i="1"/>
  <c r="AB200" i="1"/>
  <c r="AC200" i="1"/>
  <c r="AB344" i="1"/>
  <c r="AC344" i="1"/>
  <c r="AB488" i="1"/>
  <c r="AC488" i="1"/>
  <c r="AB129" i="1"/>
  <c r="AC129" i="1"/>
  <c r="AB273" i="1"/>
  <c r="AC273" i="1"/>
  <c r="AB417" i="1"/>
  <c r="AC417" i="1"/>
  <c r="AB10" i="1"/>
  <c r="AC10" i="1"/>
  <c r="AB154" i="1"/>
  <c r="AC154" i="1"/>
  <c r="AB298" i="1"/>
  <c r="AC298" i="1"/>
  <c r="AB442" i="1"/>
  <c r="AC442" i="1"/>
  <c r="AB95" i="1"/>
  <c r="AC95" i="1"/>
  <c r="AB239" i="1"/>
  <c r="AC239" i="1"/>
  <c r="AB383" i="1"/>
  <c r="AC383" i="1"/>
  <c r="AB36" i="1"/>
  <c r="AC36" i="1"/>
  <c r="AB180" i="1"/>
  <c r="AC180" i="1"/>
  <c r="AB324" i="1"/>
  <c r="AC324" i="1"/>
  <c r="AB468" i="1"/>
  <c r="AC468" i="1"/>
  <c r="AB349" i="1"/>
  <c r="AC349" i="1"/>
  <c r="AB493" i="1"/>
  <c r="AC493" i="1"/>
  <c r="AB146" i="1"/>
  <c r="AC146" i="1"/>
  <c r="AB290" i="1"/>
  <c r="AC290" i="1"/>
  <c r="AB434" i="1"/>
  <c r="AC434" i="1"/>
  <c r="AB181" i="1"/>
  <c r="AC181" i="1"/>
  <c r="AB85" i="1"/>
  <c r="AC85" i="1"/>
  <c r="AB2" i="1"/>
  <c r="AC2" i="1"/>
  <c r="X65" i="1"/>
  <c r="Y65" i="1" s="1"/>
  <c r="X79" i="1"/>
  <c r="Y79" i="1" s="1"/>
  <c r="X223" i="1"/>
  <c r="Y223" i="1" s="1"/>
  <c r="X367" i="1"/>
  <c r="Y367" i="1" s="1"/>
  <c r="X54" i="1"/>
  <c r="Y54" i="1" s="1"/>
  <c r="X198" i="1"/>
  <c r="Y198" i="1" s="1"/>
  <c r="X94" i="1"/>
  <c r="Y94" i="1" s="1"/>
  <c r="X238" i="1"/>
  <c r="Y238" i="1" s="1"/>
  <c r="X382" i="1"/>
  <c r="Y382" i="1" s="1"/>
  <c r="X380" i="1"/>
  <c r="Y380" i="1" s="1"/>
  <c r="X236" i="1"/>
  <c r="Y236" i="1" s="1"/>
  <c r="X92" i="1"/>
  <c r="Y92" i="1" s="1"/>
  <c r="X126" i="1"/>
  <c r="Y126" i="1" s="1"/>
  <c r="X270" i="1"/>
  <c r="Y270" i="1" s="1"/>
  <c r="X414" i="1"/>
  <c r="Y414" i="1" s="1"/>
  <c r="X2" i="1"/>
  <c r="Y2" i="1" s="1"/>
  <c r="X446" i="1"/>
  <c r="Y446" i="1" s="1"/>
  <c r="X368" i="1"/>
  <c r="Y368" i="1" s="1"/>
  <c r="X224" i="1"/>
  <c r="Y224" i="1" s="1"/>
  <c r="X80" i="1"/>
  <c r="Y80" i="1" s="1"/>
  <c r="X22" i="1"/>
  <c r="Y22" i="1" s="1"/>
  <c r="X166" i="1"/>
  <c r="Y166" i="1" s="1"/>
  <c r="X247" i="1"/>
  <c r="Y247" i="1" s="1"/>
  <c r="X346" i="1"/>
  <c r="Y346" i="1" s="1"/>
  <c r="X16" i="1"/>
  <c r="Y16" i="1" s="1"/>
  <c r="X160" i="1"/>
  <c r="Y160" i="1" s="1"/>
  <c r="X304" i="1"/>
  <c r="Y304" i="1" s="1"/>
  <c r="X96" i="1"/>
  <c r="Y96" i="1" s="1"/>
  <c r="X240" i="1"/>
  <c r="Y240" i="1" s="1"/>
  <c r="X384" i="1"/>
  <c r="Y384" i="1" s="1"/>
  <c r="X230" i="1"/>
  <c r="Y230" i="1" s="1"/>
  <c r="X500" i="1"/>
  <c r="Y500" i="1" s="1"/>
  <c r="X7" i="1"/>
  <c r="Y7" i="1" s="1"/>
  <c r="X151" i="1"/>
  <c r="Y151" i="1" s="1"/>
  <c r="X295" i="1"/>
  <c r="Y295" i="1" s="1"/>
  <c r="X64" i="1"/>
  <c r="Y64" i="1" s="1"/>
  <c r="X208" i="1"/>
  <c r="Y208" i="1" s="1"/>
  <c r="X352" i="1"/>
  <c r="Y352" i="1" s="1"/>
  <c r="X118" i="1"/>
  <c r="Y118" i="1" s="1"/>
  <c r="X262" i="1"/>
  <c r="Y262" i="1" s="1"/>
  <c r="X406" i="1"/>
  <c r="Y406" i="1" s="1"/>
  <c r="X260" i="1"/>
  <c r="Y260" i="1" s="1"/>
  <c r="X116" i="1"/>
  <c r="Y116" i="1" s="1"/>
  <c r="X173" i="1"/>
  <c r="Y173" i="1" s="1"/>
  <c r="X317" i="1"/>
  <c r="Y317" i="1" s="1"/>
  <c r="X391" i="1"/>
  <c r="Y391" i="1" s="1"/>
  <c r="X67" i="1"/>
  <c r="Y67" i="1" s="1"/>
  <c r="X211" i="1"/>
  <c r="Y211" i="1" s="1"/>
  <c r="X355" i="1"/>
  <c r="Y355" i="1" s="1"/>
  <c r="X138" i="1"/>
  <c r="Y138" i="1" s="1"/>
  <c r="X282" i="1"/>
  <c r="Y282" i="1" s="1"/>
  <c r="X426" i="1"/>
  <c r="Y426" i="1" s="1"/>
  <c r="X125" i="1"/>
  <c r="Y125" i="1" s="1"/>
  <c r="X269" i="1"/>
  <c r="Y269" i="1" s="1"/>
  <c r="X342" i="1"/>
  <c r="Y342" i="1" s="1"/>
  <c r="X210" i="1"/>
  <c r="Y210" i="1" s="1"/>
  <c r="X197" i="1"/>
  <c r="Y197" i="1" s="1"/>
  <c r="X341" i="1"/>
  <c r="Y341" i="1" s="1"/>
  <c r="X101" i="1"/>
  <c r="Y101" i="1" s="1"/>
  <c r="X146" i="1"/>
  <c r="Y146" i="1" s="1"/>
  <c r="X370" i="1"/>
  <c r="Y370" i="1" s="1"/>
  <c r="X89" i="1"/>
  <c r="Y89" i="1" s="1"/>
  <c r="X115" i="1"/>
  <c r="Y115" i="1" s="1"/>
  <c r="X259" i="1"/>
  <c r="Y259" i="1" s="1"/>
  <c r="X28" i="1"/>
  <c r="Y28" i="1" s="1"/>
  <c r="X172" i="1"/>
  <c r="Y172" i="1" s="1"/>
  <c r="X316" i="1"/>
  <c r="Y316" i="1" s="1"/>
  <c r="X137" i="1"/>
  <c r="Y137" i="1" s="1"/>
  <c r="X281" i="1"/>
  <c r="Y281" i="1" s="1"/>
  <c r="X78" i="1"/>
  <c r="Y78" i="1" s="1"/>
  <c r="X222" i="1"/>
  <c r="Y222" i="1" s="1"/>
  <c r="X366" i="1"/>
  <c r="Y366" i="1" s="1"/>
  <c r="X272" i="1"/>
  <c r="Y272" i="1" s="1"/>
  <c r="X128" i="1"/>
  <c r="Y128" i="1" s="1"/>
  <c r="X415" i="1"/>
  <c r="Y415" i="1" s="1"/>
  <c r="X404" i="1"/>
  <c r="Y404" i="1" s="1"/>
  <c r="X130" i="1"/>
  <c r="Y130" i="1" s="1"/>
  <c r="X274" i="1"/>
  <c r="Y274" i="1" s="1"/>
  <c r="X458" i="1"/>
  <c r="Y458" i="1" s="1"/>
  <c r="X310" i="1"/>
  <c r="Y310" i="1" s="1"/>
  <c r="X48" i="1"/>
  <c r="Y48" i="1" s="1"/>
  <c r="X192" i="1"/>
  <c r="Y192" i="1" s="1"/>
  <c r="X336" i="1"/>
  <c r="Y336" i="1" s="1"/>
  <c r="X110" i="1"/>
  <c r="Y110" i="1" s="1"/>
  <c r="X158" i="1"/>
  <c r="Y158" i="1" s="1"/>
  <c r="X86" i="1"/>
  <c r="Y86" i="1" s="1"/>
  <c r="X488" i="1"/>
  <c r="Y488" i="1" s="1"/>
  <c r="X394" i="1"/>
  <c r="Y394" i="1" s="1"/>
  <c r="X55" i="1"/>
  <c r="Y55" i="1" s="1"/>
  <c r="X199" i="1"/>
  <c r="Y199" i="1" s="1"/>
  <c r="X343" i="1"/>
  <c r="Y343" i="1" s="1"/>
  <c r="X278" i="1"/>
  <c r="Y278" i="1" s="1"/>
  <c r="X422" i="1"/>
  <c r="Y422" i="1" s="1"/>
  <c r="X356" i="1"/>
  <c r="Y356" i="1" s="1"/>
  <c r="X212" i="1"/>
  <c r="Y212" i="1" s="1"/>
  <c r="X68" i="1"/>
  <c r="Y68" i="1" s="1"/>
  <c r="X499" i="1"/>
  <c r="Y499" i="1" s="1"/>
  <c r="X492" i="1"/>
  <c r="Y492" i="1" s="1"/>
  <c r="X70" i="1"/>
  <c r="Y70" i="1" s="1"/>
  <c r="X214" i="1"/>
  <c r="Y214" i="1" s="1"/>
  <c r="X134" i="1"/>
  <c r="Y134" i="1" s="1"/>
  <c r="X144" i="1"/>
  <c r="Y144" i="1" s="1"/>
  <c r="X432" i="1"/>
  <c r="Y432" i="1" s="1"/>
  <c r="X290" i="1"/>
  <c r="Y290" i="1" s="1"/>
  <c r="X12" i="1"/>
  <c r="Y12" i="1" s="1"/>
  <c r="X156" i="1"/>
  <c r="Y156" i="1" s="1"/>
  <c r="X300" i="1"/>
  <c r="Y300" i="1" s="1"/>
  <c r="X444" i="1"/>
  <c r="Y444" i="1" s="1"/>
  <c r="X122" i="1"/>
  <c r="Y122" i="1" s="1"/>
  <c r="X416" i="1"/>
  <c r="Y416" i="1" s="1"/>
  <c r="X322" i="1"/>
  <c r="Y322" i="1" s="1"/>
  <c r="X72" i="1"/>
  <c r="Y72" i="1" s="1"/>
  <c r="X216" i="1"/>
  <c r="Y216" i="1" s="1"/>
  <c r="X360" i="1"/>
  <c r="Y360" i="1" s="1"/>
  <c r="X127" i="1"/>
  <c r="Y127" i="1" s="1"/>
  <c r="X271" i="1"/>
  <c r="Y271" i="1" s="1"/>
  <c r="X40" i="1"/>
  <c r="Y40" i="1" s="1"/>
  <c r="X184" i="1"/>
  <c r="Y184" i="1" s="1"/>
  <c r="X328" i="1"/>
  <c r="Y328" i="1" s="1"/>
  <c r="X498" i="1"/>
  <c r="Y498" i="1" s="1"/>
  <c r="X284" i="1"/>
  <c r="Y284" i="1" s="1"/>
  <c r="X140" i="1"/>
  <c r="Y140" i="1" s="1"/>
  <c r="X149" i="1"/>
  <c r="Y149" i="1" s="1"/>
  <c r="X293" i="1"/>
  <c r="Y293" i="1" s="1"/>
  <c r="X427" i="1"/>
  <c r="Y427" i="1" s="1"/>
  <c r="X445" i="1"/>
  <c r="Y445" i="1" s="1"/>
  <c r="X90" i="1"/>
  <c r="Y90" i="1" s="1"/>
  <c r="X234" i="1"/>
  <c r="Y234" i="1" s="1"/>
  <c r="X378" i="1"/>
  <c r="Y378" i="1" s="1"/>
  <c r="X338" i="1"/>
  <c r="Y338" i="1" s="1"/>
  <c r="X470" i="1"/>
  <c r="Y470" i="1" s="1"/>
  <c r="X142" i="1"/>
  <c r="Y142" i="1" s="1"/>
  <c r="X286" i="1"/>
  <c r="Y286" i="1" s="1"/>
  <c r="X120" i="1"/>
  <c r="Y120" i="1" s="1"/>
  <c r="X350" i="1"/>
  <c r="Y350" i="1" s="1"/>
  <c r="X108" i="1"/>
  <c r="Y108" i="1" s="1"/>
  <c r="X252" i="1"/>
  <c r="Y252" i="1" s="1"/>
  <c r="X396" i="1"/>
  <c r="Y396" i="1" s="1"/>
  <c r="X194" i="1"/>
  <c r="Y194" i="1" s="1"/>
  <c r="X36" i="1"/>
  <c r="Y36" i="1" s="1"/>
  <c r="X180" i="1"/>
  <c r="Y180" i="1" s="1"/>
  <c r="X324" i="1"/>
  <c r="Y324" i="1" s="1"/>
  <c r="X38" i="1"/>
  <c r="Y38" i="1" s="1"/>
  <c r="X334" i="1"/>
  <c r="Y334" i="1" s="1"/>
  <c r="X139" i="1"/>
  <c r="Y139" i="1" s="1"/>
  <c r="X283" i="1"/>
  <c r="Y283" i="1" s="1"/>
  <c r="X264" i="1"/>
  <c r="Y264" i="1" s="1"/>
  <c r="X170" i="1"/>
  <c r="Y170" i="1" s="1"/>
  <c r="X314" i="1"/>
  <c r="Y314" i="1" s="1"/>
  <c r="X62" i="1"/>
  <c r="Y62" i="1" s="1"/>
  <c r="X408" i="1"/>
  <c r="Y408" i="1" s="1"/>
  <c r="X242" i="1"/>
  <c r="Y242" i="1" s="1"/>
  <c r="X206" i="1"/>
  <c r="Y206" i="1" s="1"/>
  <c r="X428" i="1"/>
  <c r="Y428" i="1" s="1"/>
  <c r="X74" i="1"/>
  <c r="Y74" i="1" s="1"/>
  <c r="X218" i="1"/>
  <c r="Y218" i="1" s="1"/>
  <c r="X362" i="1"/>
  <c r="Y362" i="1" s="1"/>
  <c r="X84" i="1"/>
  <c r="Y84" i="1" s="1"/>
  <c r="X228" i="1"/>
  <c r="Y228" i="1" s="1"/>
  <c r="X372" i="1"/>
  <c r="Y372" i="1" s="1"/>
  <c r="X182" i="1"/>
  <c r="Y182" i="1" s="1"/>
  <c r="X266" i="1"/>
  <c r="Y266" i="1" s="1"/>
  <c r="X326" i="1"/>
  <c r="Y326" i="1" s="1"/>
  <c r="X296" i="1"/>
  <c r="Y296" i="1" s="1"/>
  <c r="X152" i="1"/>
  <c r="Y152" i="1" s="1"/>
  <c r="X8" i="1"/>
  <c r="Y8" i="1" s="1"/>
  <c r="X50" i="1"/>
  <c r="Y50" i="1" s="1"/>
  <c r="X98" i="1"/>
  <c r="Y98" i="1" s="1"/>
  <c r="X439" i="1"/>
  <c r="Y439" i="1" s="1"/>
  <c r="X457" i="1"/>
  <c r="Y457" i="1" s="1"/>
  <c r="X52" i="1"/>
  <c r="Y52" i="1" s="1"/>
  <c r="X196" i="1"/>
  <c r="Y196" i="1" s="1"/>
  <c r="X340" i="1"/>
  <c r="Y340" i="1" s="1"/>
  <c r="X161" i="1"/>
  <c r="Y161" i="1" s="1"/>
  <c r="X305" i="1"/>
  <c r="Y305" i="1" s="1"/>
  <c r="X482" i="1"/>
  <c r="Y482" i="1" s="1"/>
  <c r="X102" i="1"/>
  <c r="Y102" i="1" s="1"/>
  <c r="X246" i="1"/>
  <c r="Y246" i="1" s="1"/>
  <c r="X390" i="1"/>
  <c r="Y390" i="1" s="1"/>
  <c r="X476" i="1"/>
  <c r="Y476" i="1" s="1"/>
  <c r="X100" i="1"/>
  <c r="Y100" i="1" s="1"/>
  <c r="X244" i="1"/>
  <c r="Y244" i="1" s="1"/>
  <c r="X388" i="1"/>
  <c r="Y388" i="1" s="1"/>
  <c r="X209" i="1"/>
  <c r="Y209" i="1" s="1"/>
  <c r="X6" i="1"/>
  <c r="Y6" i="1" s="1"/>
  <c r="X150" i="1"/>
  <c r="Y150" i="1" s="1"/>
  <c r="X294" i="1"/>
  <c r="Y294" i="1" s="1"/>
  <c r="X438" i="1"/>
  <c r="Y438" i="1" s="1"/>
  <c r="X344" i="1"/>
  <c r="Y344" i="1" s="1"/>
  <c r="X200" i="1"/>
  <c r="Y200" i="1" s="1"/>
  <c r="X56" i="1"/>
  <c r="Y56" i="1" s="1"/>
  <c r="X487" i="1"/>
  <c r="Y487" i="1" s="1"/>
  <c r="X480" i="1"/>
  <c r="Y480" i="1" s="1"/>
  <c r="X464" i="1"/>
  <c r="Y464" i="1" s="1"/>
  <c r="X401" i="1"/>
  <c r="Y401" i="1" s="1"/>
  <c r="X385" i="1"/>
  <c r="Y385" i="1" s="1"/>
  <c r="X241" i="1"/>
  <c r="Y241" i="1" s="1"/>
  <c r="X97" i="1"/>
  <c r="Y97" i="1" s="1"/>
  <c r="X373" i="1"/>
  <c r="Y373" i="1" s="1"/>
  <c r="X112" i="1"/>
  <c r="Y112" i="1" s="1"/>
  <c r="X256" i="1"/>
  <c r="Y256" i="1" s="1"/>
  <c r="X400" i="1"/>
  <c r="Y400" i="1" s="1"/>
  <c r="X221" i="1"/>
  <c r="Y221" i="1" s="1"/>
  <c r="X467" i="1"/>
  <c r="Y467" i="1" s="1"/>
  <c r="X18" i="1"/>
  <c r="Y18" i="1" s="1"/>
  <c r="X162" i="1"/>
  <c r="Y162" i="1" s="1"/>
  <c r="X306" i="1"/>
  <c r="Y306" i="1" s="1"/>
  <c r="X450" i="1"/>
  <c r="Y450" i="1" s="1"/>
  <c r="X485" i="1"/>
  <c r="Y485" i="1" s="1"/>
  <c r="X332" i="1"/>
  <c r="Y332" i="1" s="1"/>
  <c r="X188" i="1"/>
  <c r="Y188" i="1" s="1"/>
  <c r="X44" i="1"/>
  <c r="Y44" i="1" s="1"/>
  <c r="X354" i="1"/>
  <c r="Y354" i="1" s="1"/>
  <c r="X66" i="1"/>
  <c r="Y66" i="1" s="1"/>
  <c r="X288" i="1"/>
  <c r="Y288" i="1" s="1"/>
  <c r="X425" i="1"/>
  <c r="Y425" i="1" s="1"/>
  <c r="X440" i="1"/>
  <c r="Y440" i="1" s="1"/>
  <c r="X365" i="1"/>
  <c r="Y365" i="1" s="1"/>
  <c r="X124" i="1"/>
  <c r="Y124" i="1" s="1"/>
  <c r="X268" i="1"/>
  <c r="Y268" i="1" s="1"/>
  <c r="X412" i="1"/>
  <c r="Y412" i="1" s="1"/>
  <c r="X481" i="1"/>
  <c r="Y481" i="1" s="1"/>
  <c r="X136" i="1"/>
  <c r="Y136" i="1" s="1"/>
  <c r="X280" i="1"/>
  <c r="Y280" i="1" s="1"/>
  <c r="X424" i="1"/>
  <c r="Y424" i="1" s="1"/>
  <c r="X233" i="1"/>
  <c r="Y233" i="1" s="1"/>
  <c r="X484" i="1"/>
  <c r="Y484" i="1" s="1"/>
  <c r="X335" i="1"/>
  <c r="Y335" i="1" s="1"/>
  <c r="X191" i="1"/>
  <c r="Y191" i="1" s="1"/>
  <c r="X47" i="1"/>
  <c r="Y47" i="1" s="1"/>
  <c r="X430" i="1"/>
  <c r="Y430" i="1" s="1"/>
  <c r="X245" i="1"/>
  <c r="Y245" i="1" s="1"/>
  <c r="X30" i="1"/>
  <c r="Y30" i="1" s="1"/>
  <c r="X174" i="1"/>
  <c r="Y174" i="1" s="1"/>
  <c r="X318" i="1"/>
  <c r="Y318" i="1" s="1"/>
  <c r="X462" i="1"/>
  <c r="Y462" i="1" s="1"/>
  <c r="X472" i="1"/>
  <c r="Y472" i="1" s="1"/>
  <c r="X320" i="1"/>
  <c r="Y320" i="1" s="1"/>
  <c r="X176" i="1"/>
  <c r="Y176" i="1" s="1"/>
  <c r="X32" i="1"/>
  <c r="Y32" i="1" s="1"/>
  <c r="X42" i="1"/>
  <c r="Y42" i="1" s="1"/>
  <c r="X186" i="1"/>
  <c r="Y186" i="1" s="1"/>
  <c r="X330" i="1"/>
  <c r="Y330" i="1" s="1"/>
  <c r="X474" i="1"/>
  <c r="Y474" i="1" s="1"/>
  <c r="X463" i="1"/>
  <c r="Y463" i="1" s="1"/>
  <c r="X308" i="1"/>
  <c r="Y308" i="1" s="1"/>
  <c r="X164" i="1"/>
  <c r="Y164" i="1" s="1"/>
  <c r="X20" i="1"/>
  <c r="Y20" i="1" s="1"/>
  <c r="X451" i="1"/>
  <c r="Y451" i="1" s="1"/>
  <c r="X469" i="1"/>
  <c r="Y469" i="1" s="1"/>
  <c r="X494" i="1"/>
  <c r="Y494" i="1" s="1"/>
  <c r="X413" i="1"/>
  <c r="Y413" i="1" s="1"/>
  <c r="X407" i="1"/>
  <c r="Y407" i="1" s="1"/>
  <c r="X263" i="1"/>
  <c r="Y263" i="1" s="1"/>
  <c r="X119" i="1"/>
  <c r="Y119" i="1" s="1"/>
  <c r="X419" i="1"/>
  <c r="Y419" i="1" s="1"/>
  <c r="X275" i="1"/>
  <c r="Y275" i="1" s="1"/>
  <c r="X131" i="1"/>
  <c r="Y131" i="1" s="1"/>
  <c r="X421" i="1"/>
  <c r="Y421" i="1" s="1"/>
  <c r="X277" i="1"/>
  <c r="Y277" i="1" s="1"/>
  <c r="X133" i="1"/>
  <c r="Y133" i="1" s="1"/>
  <c r="X409" i="1"/>
  <c r="Y409" i="1" s="1"/>
  <c r="X265" i="1"/>
  <c r="Y265" i="1" s="1"/>
  <c r="X121" i="1"/>
  <c r="Y121" i="1" s="1"/>
  <c r="X395" i="1"/>
  <c r="Y395" i="1" s="1"/>
  <c r="X251" i="1"/>
  <c r="Y251" i="1" s="1"/>
  <c r="X107" i="1"/>
  <c r="Y107" i="1" s="1"/>
  <c r="X397" i="1"/>
  <c r="Y397" i="1" s="1"/>
  <c r="X253" i="1"/>
  <c r="Y253" i="1" s="1"/>
  <c r="X109" i="1"/>
  <c r="Y109" i="1" s="1"/>
  <c r="X490" i="1"/>
  <c r="Y490" i="1" s="1"/>
  <c r="X403" i="1"/>
  <c r="Y403" i="1" s="1"/>
  <c r="X392" i="1"/>
  <c r="Y392" i="1" s="1"/>
  <c r="X389" i="1"/>
  <c r="Y389" i="1" s="1"/>
  <c r="X383" i="1"/>
  <c r="Y383" i="1" s="1"/>
  <c r="X239" i="1"/>
  <c r="Y239" i="1" s="1"/>
  <c r="X95" i="1"/>
  <c r="Y95" i="1" s="1"/>
  <c r="X478" i="1"/>
  <c r="Y478" i="1" s="1"/>
  <c r="X377" i="1"/>
  <c r="Y377" i="1" s="1"/>
  <c r="X491" i="1"/>
  <c r="Y491" i="1" s="1"/>
  <c r="X371" i="1"/>
  <c r="Y371" i="1" s="1"/>
  <c r="X227" i="1"/>
  <c r="Y227" i="1" s="1"/>
  <c r="X83" i="1"/>
  <c r="Y83" i="1" s="1"/>
  <c r="X229" i="1"/>
  <c r="Y229" i="1" s="1"/>
  <c r="X85" i="1"/>
  <c r="Y85" i="1" s="1"/>
  <c r="X466" i="1"/>
  <c r="Y466" i="1" s="1"/>
  <c r="X479" i="1"/>
  <c r="Y479" i="1" s="1"/>
  <c r="X359" i="1"/>
  <c r="Y359" i="1" s="1"/>
  <c r="X215" i="1"/>
  <c r="Y215" i="1" s="1"/>
  <c r="X71" i="1"/>
  <c r="Y71" i="1" s="1"/>
  <c r="X361" i="1"/>
  <c r="Y361" i="1" s="1"/>
  <c r="X217" i="1"/>
  <c r="Y217" i="1" s="1"/>
  <c r="X73" i="1"/>
  <c r="Y73" i="1" s="1"/>
  <c r="X454" i="1"/>
  <c r="Y454" i="1" s="1"/>
  <c r="X493" i="1"/>
  <c r="Y493" i="1" s="1"/>
  <c r="X497" i="1"/>
  <c r="Y497" i="1" s="1"/>
  <c r="X496" i="1"/>
  <c r="Y496" i="1" s="1"/>
  <c r="X347" i="1"/>
  <c r="Y347" i="1" s="1"/>
  <c r="X203" i="1"/>
  <c r="Y203" i="1" s="1"/>
  <c r="X59" i="1"/>
  <c r="Y59" i="1" s="1"/>
  <c r="X349" i="1"/>
  <c r="Y349" i="1" s="1"/>
  <c r="X205" i="1"/>
  <c r="Y205" i="1" s="1"/>
  <c r="X61" i="1"/>
  <c r="Y61" i="1" s="1"/>
  <c r="X442" i="1"/>
  <c r="Y442" i="1" s="1"/>
  <c r="X486" i="1"/>
  <c r="Y486" i="1" s="1"/>
  <c r="X337" i="1"/>
  <c r="Y337" i="1" s="1"/>
  <c r="X193" i="1"/>
  <c r="Y193" i="1" s="1"/>
  <c r="X49" i="1"/>
  <c r="Y49" i="1" s="1"/>
  <c r="X353" i="1"/>
  <c r="Y353" i="1" s="1"/>
  <c r="X473" i="1"/>
  <c r="Y473" i="1" s="1"/>
  <c r="X434" i="1"/>
  <c r="Y434" i="1" s="1"/>
  <c r="X323" i="1"/>
  <c r="Y323" i="1" s="1"/>
  <c r="X179" i="1"/>
  <c r="Y179" i="1" s="1"/>
  <c r="X35" i="1"/>
  <c r="Y35" i="1" s="1"/>
  <c r="X325" i="1"/>
  <c r="Y325" i="1" s="1"/>
  <c r="X181" i="1"/>
  <c r="Y181" i="1" s="1"/>
  <c r="X37" i="1"/>
  <c r="Y37" i="1" s="1"/>
  <c r="X418" i="1"/>
  <c r="Y418" i="1" s="1"/>
  <c r="X436" i="1"/>
  <c r="Y436" i="1" s="1"/>
  <c r="X475" i="1"/>
  <c r="Y475" i="1" s="1"/>
  <c r="X461" i="1"/>
  <c r="Y461" i="1" s="1"/>
  <c r="X460" i="1"/>
  <c r="Y460" i="1" s="1"/>
  <c r="X455" i="1"/>
  <c r="Y455" i="1" s="1"/>
  <c r="X311" i="1"/>
  <c r="Y311" i="1" s="1"/>
  <c r="X167" i="1"/>
  <c r="Y167" i="1" s="1"/>
  <c r="X23" i="1"/>
  <c r="Y23" i="1" s="1"/>
  <c r="X313" i="1"/>
  <c r="Y313" i="1" s="1"/>
  <c r="X169" i="1"/>
  <c r="Y169" i="1" s="1"/>
  <c r="X25" i="1"/>
  <c r="Y25" i="1" s="1"/>
  <c r="X468" i="1"/>
  <c r="Y468" i="1" s="1"/>
  <c r="X449" i="1"/>
  <c r="Y449" i="1" s="1"/>
  <c r="X448" i="1"/>
  <c r="Y448" i="1" s="1"/>
  <c r="X443" i="1"/>
  <c r="Y443" i="1" s="1"/>
  <c r="X299" i="1"/>
  <c r="Y299" i="1" s="1"/>
  <c r="X155" i="1"/>
  <c r="Y155" i="1" s="1"/>
  <c r="X11" i="1"/>
  <c r="Y11" i="1" s="1"/>
  <c r="X301" i="1"/>
  <c r="Y301" i="1" s="1"/>
  <c r="X157" i="1"/>
  <c r="Y157" i="1" s="1"/>
  <c r="X13" i="1"/>
  <c r="Y13" i="1" s="1"/>
  <c r="X437" i="1"/>
  <c r="Y437" i="1" s="1"/>
  <c r="X431" i="1"/>
  <c r="Y431" i="1" s="1"/>
  <c r="X287" i="1"/>
  <c r="Y287" i="1" s="1"/>
  <c r="X143" i="1"/>
  <c r="Y143" i="1" s="1"/>
  <c r="X433" i="1"/>
  <c r="Y433" i="1" s="1"/>
  <c r="X289" i="1"/>
  <c r="Y289" i="1" s="1"/>
  <c r="X145" i="1"/>
  <c r="Y145" i="1" s="1"/>
</calcChain>
</file>

<file path=xl/sharedStrings.xml><?xml version="1.0" encoding="utf-8"?>
<sst xmlns="http://schemas.openxmlformats.org/spreadsheetml/2006/main" count="29" uniqueCount="29">
  <si>
    <t>ID_Venda</t>
  </si>
  <si>
    <t>Data</t>
  </si>
  <si>
    <t>Ano</t>
  </si>
  <si>
    <t>Mes</t>
  </si>
  <si>
    <t>AnoMes</t>
  </si>
  <si>
    <t>ClienteID</t>
  </si>
  <si>
    <t>Nome Cliente</t>
  </si>
  <si>
    <t>Vendedor</t>
  </si>
  <si>
    <t>VeiculoID</t>
  </si>
  <si>
    <t>Modelo</t>
  </si>
  <si>
    <t>Marca</t>
  </si>
  <si>
    <t>Categoria</t>
  </si>
  <si>
    <t>Ano Veiculo</t>
  </si>
  <si>
    <t>Canal</t>
  </si>
  <si>
    <t>Regiao</t>
  </si>
  <si>
    <t>Estado</t>
  </si>
  <si>
    <t>Cidade</t>
  </si>
  <si>
    <t>Quantidade</t>
  </si>
  <si>
    <t>Preco Venda</t>
  </si>
  <si>
    <t>Receita</t>
  </si>
  <si>
    <t>Custo Total</t>
  </si>
  <si>
    <t>Lucro</t>
  </si>
  <si>
    <t>Margem %</t>
  </si>
  <si>
    <t>Status Venda</t>
  </si>
  <si>
    <t>Estoque Atual</t>
  </si>
  <si>
    <t>Tempo Fechamento (dias)</t>
  </si>
  <si>
    <t>Tipo Cliente</t>
  </si>
  <si>
    <t>Custo Veiculo</t>
  </si>
  <si>
    <t>Estoque Minimo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</si>
</sst>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CAA1-6898-4377-A1CA-BD0042E60A18}">
  <dimension ref="A1:AC500"/>
  <sheetViews>
    <sheetView tabSelected="1" workbookViewId="0">
      <selection activeCell="L11" sqref="L11"/>
    </sheetView>
  </sheetViews>
  <sheetFormatPr defaultRowHeight="15" x14ac:dyDescent="0.25"/>
  <cols>
    <col min="1" max="1" width="13.7109375" style="14" customWidth="1"/>
    <col min="2" max="2" width="13.42578125" style="5" customWidth="1"/>
    <col min="3" max="3" width="13" style="2" customWidth="1"/>
    <col min="4" max="4" width="12.42578125" style="2" customWidth="1"/>
    <col min="5" max="5" width="13.140625" style="6" customWidth="1"/>
    <col min="6" max="6" width="11.140625" style="14" customWidth="1"/>
    <col min="7" max="7" width="14.5703125" style="2" customWidth="1"/>
    <col min="8" max="8" width="13" style="2" customWidth="1"/>
    <col min="9" max="9" width="12.5703125" style="2" customWidth="1"/>
    <col min="10" max="10" width="10.85546875" style="14" customWidth="1"/>
    <col min="11" max="11" width="10.85546875" style="2" customWidth="1"/>
    <col min="12" max="12" width="11.5703125" style="2" customWidth="1"/>
    <col min="13" max="13" width="11" style="2" customWidth="1"/>
    <col min="14" max="14" width="12.7109375" style="2" customWidth="1"/>
    <col min="15" max="15" width="10.5703125" style="2" customWidth="1"/>
    <col min="16" max="16" width="13.7109375" style="2" customWidth="1"/>
    <col min="17" max="17" width="12" style="2" customWidth="1"/>
    <col min="18" max="18" width="20.85546875" style="2" customWidth="1"/>
    <col min="19" max="19" width="13.85546875" style="8" customWidth="1"/>
    <col min="20" max="20" width="18.140625" style="10" customWidth="1"/>
    <col min="21" max="21" width="16.7109375" style="10" customWidth="1"/>
    <col min="22" max="22" width="18.28515625" style="10" customWidth="1"/>
    <col min="23" max="23" width="14.7109375" style="2" customWidth="1"/>
    <col min="24" max="24" width="16.85546875" style="2" customWidth="1"/>
    <col min="25" max="25" width="12" style="12" customWidth="1"/>
    <col min="26" max="26" width="16.7109375" style="2" customWidth="1"/>
    <col min="27" max="27" width="25.85546875" style="8" customWidth="1"/>
    <col min="28" max="28" width="14.85546875" style="2" customWidth="1"/>
    <col min="29" max="29" width="16.42578125" style="2" customWidth="1"/>
  </cols>
  <sheetData>
    <row r="1" spans="1:29" ht="15.75" x14ac:dyDescent="0.25">
      <c r="A1" s="13" t="s">
        <v>0</v>
      </c>
      <c r="B1" s="3" t="s">
        <v>1</v>
      </c>
      <c r="C1" s="1" t="s">
        <v>2</v>
      </c>
      <c r="D1" s="1" t="s">
        <v>3</v>
      </c>
      <c r="E1" s="4" t="s">
        <v>4</v>
      </c>
      <c r="F1" s="13" t="s">
        <v>5</v>
      </c>
      <c r="G1" s="1" t="s">
        <v>6</v>
      </c>
      <c r="H1" s="1" t="s">
        <v>26</v>
      </c>
      <c r="I1" s="1" t="s">
        <v>7</v>
      </c>
      <c r="J1" s="13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7" t="s">
        <v>17</v>
      </c>
      <c r="T1" s="9" t="s">
        <v>18</v>
      </c>
      <c r="U1" s="9" t="s">
        <v>27</v>
      </c>
      <c r="V1" s="9" t="s">
        <v>19</v>
      </c>
      <c r="W1" s="9" t="s">
        <v>20</v>
      </c>
      <c r="X1" s="9" t="s">
        <v>21</v>
      </c>
      <c r="Y1" s="11" t="s">
        <v>22</v>
      </c>
      <c r="Z1" s="9" t="s">
        <v>23</v>
      </c>
      <c r="AA1" s="7" t="s">
        <v>25</v>
      </c>
      <c r="AB1" s="9" t="s">
        <v>24</v>
      </c>
      <c r="AC1" s="9" t="s">
        <v>28</v>
      </c>
    </row>
    <row r="2" spans="1:29" x14ac:dyDescent="0.25">
      <c r="A2" s="14" t="str">
        <f>"VND-"&amp;TEXT(ROW(A2),"00000")</f>
        <v>VND-00002</v>
      </c>
      <c r="B2" s="5">
        <f ca="1">DATE(RANDBETWEEN(2023,2025),RANDBETWEEN(1,12),RANDBETWEEN(1,28))</f>
        <v>45786</v>
      </c>
      <c r="C2" s="2">
        <f ca="1">YEAR(B2)</f>
        <v>2025</v>
      </c>
      <c r="D2" s="2" t="str">
        <f ca="1">TEXT(B2,"mmmm")</f>
        <v>maio</v>
      </c>
      <c r="E2" s="2" t="str">
        <f ca="1">YEAR(B2)&amp;"/"&amp;TEXT(MONTH(B2),"00")</f>
        <v>2025/05</v>
      </c>
      <c r="F2" s="14" t="str">
        <f ca="1">"CLI-"&amp;RANDBETWEEN(1000,9999)</f>
        <v>CLI-8737</v>
      </c>
      <c r="G2" s="2" t="str">
        <f ca="1">CHOOSE(RANDBETWEEN(1,8),
"João","Maria","Carlos","Ana",
"Lucas","Fernanda","Rafael","Juliana")</f>
        <v>Juliana</v>
      </c>
      <c r="H2" s="2" t="str">
        <f ca="1">IF(RANDBETWEEN(1,10)&gt;6,"Recorrente","Novo")</f>
        <v>Novo</v>
      </c>
      <c r="I2" s="2" t="str">
        <f ca="1">IF(P2="Sudeste",CHOOSE(RANDBETWEEN(1,5),"João","Maria","Pedro","Ana","Lucas"),
IF(P2="Sul",CHOOSE(RANDBETWEEN(1,5),"Bruno","Carla","Rafael","Juliana","Marcos"),
IF(P2="Nordeste",CHOOSE(RANDBETWEEN(1,5),"Diego","Fernanda","Roberto","Patricia","André"),
IF(P2="Norte",CHOOSE(RANDBETWEEN(1,5),"Carlos","Amanda","Ricardo","Tatiane","Felipe"),
IF(P2="Centro-Oeste",CHOOSE(RANDBETWEEN(1,5),"Gustavo","Camila","Vinicius","Larissa","Eduardo"),
"")))))</f>
        <v>Vinicius</v>
      </c>
      <c r="J2" s="14" t="str">
        <f ca="1">"VCL-"&amp;RANDBETWEEN(1000,9999)</f>
        <v>VCL-3013</v>
      </c>
      <c r="K2" s="2" t="str">
        <f ca="1">CHOOSE(RANDBETWEEN(1,6),
"Onix","HB20","Corolla","Civic","Compass","BMW X1")</f>
        <v>BMW X1</v>
      </c>
      <c r="L2" s="2" t="str">
        <f ca="1">IF(OR(K2="Onix",K2="Tracker"),"Chevrolet",
IF(OR(K2="HB20"),"Hyundai",
IF(OR(K2="Corolla"),"Toyota",
IF(OR(K2="Civic"),"Honda",
IF(OR(K2="Compass"),"Jeep",
"BMW")))))</f>
        <v>BMW</v>
      </c>
      <c r="M2" s="2" t="str">
        <f ca="1">IF(OR(K2="Onix",K2="HB20"),"Popular",
IF(OR(K2="Corolla",K2="Civic"),"SUV",
IF(K2="Compass","SUV",
IF(K2="BMW X1","Luxo","Esportivo"))))</f>
        <v>Luxo</v>
      </c>
      <c r="N2" s="2">
        <f ca="1">IF(RANDBETWEEN(1,10)&lt;=7,RANDBETWEEN(2020,2024),RANDBETWEEN(2015,2019))</f>
        <v>2020</v>
      </c>
      <c r="O2" s="2" t="str">
        <f ca="1">IF(RANDBETWEEN(1,10)&lt;=7,"Loja","Online")</f>
        <v>Loja</v>
      </c>
      <c r="P2" s="2" t="str">
        <f ca="1">CHOOSE(RANDBETWEEN(1,5),"Sudeste","Sul","Nordeste","Norte","Centro-Oeste")</f>
        <v>Centro-Oeste</v>
      </c>
      <c r="Q2" s="2" t="str">
        <f ca="1">IF(P2="Sudeste",CHOOSE(RANDBETWEEN(1,4),"SP","RJ","MG","ES"),
IF(P2="Sul",CHOOSE(RANDBETWEEN(1,3),"PR","SC","RS"),
IF(P2="Nordeste",CHOOSE(RANDBETWEEN(1,3),"BA","PE","CE"),
IF(P2="Centro-Oeste",CHOOSE(RANDBETWEEN(1,3),"GO","MT","DF"),
IF(P2="Norte",CHOOSE(RANDBETWEEN(1,2),"AM","PA"),
"GO")))))</f>
        <v>DF</v>
      </c>
      <c r="R2" s="2" t="str">
        <f ca="1">IF(Q2="SP",CHOOSE(RANDBETWEEN(1,5),"São Paulo","Campinas","Santos","Sorocaba","Ribeirão Preto"),
IF(Q2="RJ",CHOOSE(RANDBETWEEN(1,5),"Rio de Janeiro","Niterói","Duque de Caxias","Nova Iguaçu","Petrópolis"),
IF(Q2="MG",CHOOSE(RANDBETWEEN(1,5),"Belo Horizonte","Uberlândia","Contagem","Juiz de Fora","Betim"),
IF(Q2="ES",CHOOSE(RANDBETWEEN(1,5),"Vitória","Vila Velha","Serra","Cariacica","Linhares"),
IF(Q2="PR",CHOOSE(RANDBETWEEN(1,5),"Curitiba","Londrina","Maringá","Ponta Grossa","Cascavel"),
IF(Q2="SC",CHOOSE(RANDBETWEEN(1,5),"Florianópolis","Joinville","Blumenau","Itajaí","Chapecó"),
IF(Q2="RS",CHOOSE(RANDBETWEEN(1,5),"Porto Alegre","Caxias do Sul","Pelotas","Canoas","Santa Maria"),
IF(Q2="BA",CHOOSE(RANDBETWEEN(1,5),"Salvador","Feira de Santana","Vitória da Conquista","Camaçari","Ilhéus"),
IF(Q2="PE",CHOOSE(RANDBETWEEN(1,5),"Recife","Olinda","Jaboatão","Caruaru","Petrolina"),
IF(Q2="CE",CHOOSE(RANDBETWEEN(1,5),"Fortaleza","Caucaia","Juazeiro do Norte","Sobral","Maracanaú"),
IF(Q2="MT",CHOOSE(RANDBETWEEN(1,5),"Cuiabá","Várzea Grande","Rondonópolis","Sinop","Tangará da Serra"),
IF(Q2="DF",CHOOSE(RANDBETWEEN(1,5),"Brasília","Ceilândia","Taguatinga","Samambaia","Planaltina"),
IF(Q2="AM",CHOOSE(RANDBETWEEN(1,5),"Manaus","Parintins","Itacoatiara","Manacapuru","Coari"),
IF(Q2="PA",CHOOSE(RANDBETWEEN(1,5),"Belém","Ananindeua","Santarém","Marabá","Castanhal"),
IF(Q2="GO",CHOOSE(RANDBETWEEN(1,5),"Goiânia","Aparecida de Goiânia","Anápolis","Rio Verde","Luziânia"),
"")))))))))))))))</f>
        <v>Planaltina</v>
      </c>
      <c r="S2" s="8">
        <f ca="1">RANDBETWEEN(1,10)</f>
        <v>10</v>
      </c>
      <c r="T2" s="10">
        <f ca="1">RANDBETWEEN(60000,250000)</f>
        <v>123008</v>
      </c>
      <c r="U2" s="10">
        <f ca="1">T2*(RANDBETWEEN(70,85)/100)</f>
        <v>93486.080000000002</v>
      </c>
      <c r="V2" s="10">
        <f ca="1">S2*T2</f>
        <v>1230080</v>
      </c>
      <c r="W2" s="10">
        <f ca="1">S2*U2</f>
        <v>934860.80000000005</v>
      </c>
      <c r="X2" s="10">
        <f ca="1">V2-W2</f>
        <v>295219.19999999995</v>
      </c>
      <c r="Y2" s="12">
        <f ca="1">X2/V2</f>
        <v>0.23999999999999996</v>
      </c>
      <c r="Z2" s="2" t="str">
        <f ca="1">CHOOSE(RANDBETWEEN(1,3),
"Concluída","Cancelada","Em negociação")</f>
        <v>Em negociação</v>
      </c>
      <c r="AA2" s="8">
        <f ca="1">RANDBETWEEN(1,30)</f>
        <v>10</v>
      </c>
      <c r="AB2" s="2">
        <f ca="1">IF(M2="Popular",RANDBETWEEN(10,30),
IF(M2="SUV",RANDBETWEEN(5,20),
IF(M2="Luxo",RANDBETWEEN(0,10),
RANDBETWEEN(2,15))))</f>
        <v>10</v>
      </c>
      <c r="AC2" s="2">
        <f ca="1">IF(M2="Popular",10,
IF(M2="SUV",7,
IF(M2="Luxo",3,5)))</f>
        <v>3</v>
      </c>
    </row>
    <row r="3" spans="1:29" x14ac:dyDescent="0.25">
      <c r="A3" s="14" t="str">
        <f t="shared" ref="A3:A66" si="0">"VND-"&amp;TEXT(ROW(A3),"00000")</f>
        <v>VND-00003</v>
      </c>
      <c r="B3" s="5">
        <f t="shared" ref="B3:B66" ca="1" si="1">DATE(RANDBETWEEN(2023,2025),RANDBETWEEN(1,12),RANDBETWEEN(1,28))</f>
        <v>44981</v>
      </c>
      <c r="C3" s="2">
        <f t="shared" ref="C3:C66" ca="1" si="2">YEAR(B3)</f>
        <v>2023</v>
      </c>
      <c r="D3" s="2" t="str">
        <f t="shared" ref="D3:D66" ca="1" si="3">TEXT(B3,"mmmm")</f>
        <v>fevereiro</v>
      </c>
      <c r="E3" s="2" t="str">
        <f t="shared" ref="E3:E66" ca="1" si="4">YEAR(B3)&amp;"/"&amp;TEXT(MONTH(B3),"00")</f>
        <v>2023/02</v>
      </c>
      <c r="F3" s="14" t="str">
        <f t="shared" ref="F3:F66" ca="1" si="5">"CLI-"&amp;RANDBETWEEN(1000,9999)</f>
        <v>CLI-9799</v>
      </c>
      <c r="G3" s="2" t="str">
        <f t="shared" ref="G3:G66" ca="1" si="6">CHOOSE(RANDBETWEEN(1,8),
"João","Maria","Carlos","Ana",
"Lucas","Fernanda","Rafael","Juliana")</f>
        <v>Rafael</v>
      </c>
      <c r="H3" s="2" t="str">
        <f t="shared" ref="H3:H66" ca="1" si="7">IF(RANDBETWEEN(1,10)&gt;6,"Recorrente","Novo")</f>
        <v>Recorrente</v>
      </c>
      <c r="I3" s="2" t="str">
        <f t="shared" ref="I3:I66" ca="1" si="8">IF(P3="Sudeste",CHOOSE(RANDBETWEEN(1,5),"João","Maria","Pedro","Ana","Lucas"),
IF(P3="Sul",CHOOSE(RANDBETWEEN(1,5),"Bruno","Carla","Rafael","Juliana","Marcos"),
IF(P3="Nordeste",CHOOSE(RANDBETWEEN(1,5),"Diego","Fernanda","Roberto","Patricia","André"),
IF(P3="Norte",CHOOSE(RANDBETWEEN(1,5),"Carlos","Amanda","Ricardo","Tatiane","Felipe"),
IF(P3="Centro-Oeste",CHOOSE(RANDBETWEEN(1,5),"Gustavo","Camila","Vinicius","Larissa","Eduardo"),
"")))))</f>
        <v>Pedro</v>
      </c>
      <c r="J3" s="14" t="str">
        <f t="shared" ref="J3:J66" ca="1" si="9">"VCL-"&amp;RANDBETWEEN(1000,9999)</f>
        <v>VCL-7990</v>
      </c>
      <c r="K3" s="2" t="str">
        <f t="shared" ref="K3:K66" ca="1" si="10">CHOOSE(RANDBETWEEN(1,6),
"Onix","HB20","Corolla","Civic","Compass","BMW X1")</f>
        <v>Onix</v>
      </c>
      <c r="L3" s="2" t="str">
        <f t="shared" ref="L3:L66" ca="1" si="11">IF(OR(K3="Onix",K3="Tracker"),"Chevrolet",
IF(OR(K3="HB20"),"Hyundai",
IF(OR(K3="Corolla"),"Toyota",
IF(OR(K3="Civic"),"Honda",
IF(OR(K3="Compass"),"Jeep",
"BMW")))))</f>
        <v>Chevrolet</v>
      </c>
      <c r="M3" s="2" t="str">
        <f t="shared" ref="M3:M66" ca="1" si="12">IF(OR(K3="Onix",K3="HB20"),"Popular",
IF(OR(K3="Corolla",K3="Civic"),"SUV",
IF(K3="Compass","SUV",
IF(K3="BMW X1","Luxo","Esportivo"))))</f>
        <v>Popular</v>
      </c>
      <c r="N3" s="2">
        <f t="shared" ref="N3:N66" ca="1" si="13">IF(RANDBETWEEN(1,10)&lt;=7,RANDBETWEEN(2020,2024),RANDBETWEEN(2015,2019))</f>
        <v>2024</v>
      </c>
      <c r="O3" s="2" t="str">
        <f t="shared" ref="O3:O66" ca="1" si="14">IF(RANDBETWEEN(1,10)&lt;=7,"Loja","Online")</f>
        <v>Loja</v>
      </c>
      <c r="P3" s="2" t="str">
        <f t="shared" ref="P3:P66" ca="1" si="15">CHOOSE(RANDBETWEEN(1,5),"Sudeste","Sul","Nordeste","Norte","Centro-Oeste")</f>
        <v>Sudeste</v>
      </c>
      <c r="Q3" s="2" t="str">
        <f t="shared" ref="Q3:Q66" ca="1" si="16">IF(P3="Sudeste",CHOOSE(RANDBETWEEN(1,4),"SP","RJ","MG","ES"),
IF(P3="Sul",CHOOSE(RANDBETWEEN(1,3),"PR","SC","RS"),
IF(P3="Nordeste",CHOOSE(RANDBETWEEN(1,3),"BA","PE","CE"),
IF(P3="Centro-Oeste",CHOOSE(RANDBETWEEN(1,3),"GO","MT","DF"),
IF(P3="Norte",CHOOSE(RANDBETWEEN(1,2),"AM","PA"),
"GO")))))</f>
        <v>RJ</v>
      </c>
      <c r="R3" s="2" t="str">
        <f t="shared" ref="R3:R66" ca="1" si="17">IF(Q3="SP",CHOOSE(RANDBETWEEN(1,5),"São Paulo","Campinas","Santos","Sorocaba","Ribeirão Preto"),
IF(Q3="RJ",CHOOSE(RANDBETWEEN(1,5),"Rio de Janeiro","Niterói","Duque de Caxias","Nova Iguaçu","Petrópolis"),
IF(Q3="MG",CHOOSE(RANDBETWEEN(1,5),"Belo Horizonte","Uberlândia","Contagem","Juiz de Fora","Betim"),
IF(Q3="ES",CHOOSE(RANDBETWEEN(1,5),"Vitória","Vila Velha","Serra","Cariacica","Linhares"),
IF(Q3="PR",CHOOSE(RANDBETWEEN(1,5),"Curitiba","Londrina","Maringá","Ponta Grossa","Cascavel"),
IF(Q3="SC",CHOOSE(RANDBETWEEN(1,5),"Florianópolis","Joinville","Blumenau","Itajaí","Chapecó"),
IF(Q3="RS",CHOOSE(RANDBETWEEN(1,5),"Porto Alegre","Caxias do Sul","Pelotas","Canoas","Santa Maria"),
IF(Q3="BA",CHOOSE(RANDBETWEEN(1,5),"Salvador","Feira de Santana","Vitória da Conquista","Camaçari","Ilhéus"),
IF(Q3="PE",CHOOSE(RANDBETWEEN(1,5),"Recife","Olinda","Jaboatão","Caruaru","Petrolina"),
IF(Q3="CE",CHOOSE(RANDBETWEEN(1,5),"Fortaleza","Caucaia","Juazeiro do Norte","Sobral","Maracanaú"),
IF(Q3="MT",CHOOSE(RANDBETWEEN(1,5),"Cuiabá","Várzea Grande","Rondonópolis","Sinop","Tangará da Serra"),
IF(Q3="DF",CHOOSE(RANDBETWEEN(1,5),"Brasília","Ceilândia","Taguatinga","Samambaia","Planaltina"),
IF(Q3="AM",CHOOSE(RANDBETWEEN(1,5),"Manaus","Parintins","Itacoatiara","Manacapuru","Coari"),
IF(Q3="PA",CHOOSE(RANDBETWEEN(1,5),"Belém","Ananindeua","Santarém","Marabá","Castanhal"),
IF(Q3="GO",CHOOSE(RANDBETWEEN(1,5),"Goiânia","Aparecida de Goiânia","Anápolis","Rio Verde","Luziânia"),
"")))))))))))))))</f>
        <v>Niterói</v>
      </c>
      <c r="S3" s="8">
        <f t="shared" ref="S3:S66" ca="1" si="18">RANDBETWEEN(1,10)</f>
        <v>10</v>
      </c>
      <c r="T3" s="10">
        <f t="shared" ref="T3:T66" ca="1" si="19">RANDBETWEEN(60000,250000)</f>
        <v>154873</v>
      </c>
      <c r="U3" s="10">
        <f t="shared" ref="U3:U66" ca="1" si="20">T3*(RANDBETWEEN(70,85)/100)</f>
        <v>116154.75</v>
      </c>
      <c r="V3" s="10">
        <f t="shared" ref="V3:V66" ca="1" si="21">S3*T3</f>
        <v>1548730</v>
      </c>
      <c r="W3" s="10">
        <f t="shared" ref="W3:W66" ca="1" si="22">S3*U3</f>
        <v>1161547.5</v>
      </c>
      <c r="X3" s="10">
        <f t="shared" ref="X3:X66" ca="1" si="23">V3-W3</f>
        <v>387182.5</v>
      </c>
      <c r="Y3" s="12">
        <f t="shared" ref="Y3:Y66" ca="1" si="24">X3/V3</f>
        <v>0.25</v>
      </c>
      <c r="Z3" s="2" t="str">
        <f t="shared" ref="Z3:Z66" ca="1" si="25">CHOOSE(RANDBETWEEN(1,3),
"Concluída","Cancelada","Em negociação")</f>
        <v>Em negociação</v>
      </c>
      <c r="AA3" s="8">
        <f t="shared" ref="AA3:AA66" ca="1" si="26">RANDBETWEEN(1,30)</f>
        <v>23</v>
      </c>
      <c r="AB3" s="2">
        <f t="shared" ref="AB3:AB66" ca="1" si="27">IF(M3="Popular",RANDBETWEEN(10,30),
IF(M3="SUV",RANDBETWEEN(5,20),
IF(M3="Luxo",RANDBETWEEN(0,10),
RANDBETWEEN(2,15))))</f>
        <v>25</v>
      </c>
      <c r="AC3" s="2">
        <f t="shared" ref="AC3:AC66" ca="1" si="28">IF(M3="Popular",10,
IF(M3="SUV",7,
IF(M3="Luxo",3,5)))</f>
        <v>10</v>
      </c>
    </row>
    <row r="4" spans="1:29" x14ac:dyDescent="0.25">
      <c r="A4" s="14" t="str">
        <f t="shared" si="0"/>
        <v>VND-00004</v>
      </c>
      <c r="B4" s="5">
        <f t="shared" ca="1" si="1"/>
        <v>45359</v>
      </c>
      <c r="C4" s="2">
        <f t="shared" ca="1" si="2"/>
        <v>2024</v>
      </c>
      <c r="D4" s="2" t="str">
        <f t="shared" ca="1" si="3"/>
        <v>março</v>
      </c>
      <c r="E4" s="2" t="str">
        <f t="shared" ca="1" si="4"/>
        <v>2024/03</v>
      </c>
      <c r="F4" s="14" t="str">
        <f t="shared" ca="1" si="5"/>
        <v>CLI-9614</v>
      </c>
      <c r="G4" s="2" t="str">
        <f t="shared" ca="1" si="6"/>
        <v>Lucas</v>
      </c>
      <c r="H4" s="2" t="str">
        <f t="shared" ca="1" si="7"/>
        <v>Recorrente</v>
      </c>
      <c r="I4" s="2" t="str">
        <f t="shared" ca="1" si="8"/>
        <v>Juliana</v>
      </c>
      <c r="J4" s="14" t="str">
        <f t="shared" ca="1" si="9"/>
        <v>VCL-3425</v>
      </c>
      <c r="K4" s="2" t="str">
        <f t="shared" ca="1" si="10"/>
        <v>Compass</v>
      </c>
      <c r="L4" s="2" t="str">
        <f t="shared" ca="1" si="11"/>
        <v>Jeep</v>
      </c>
      <c r="M4" s="2" t="str">
        <f t="shared" ca="1" si="12"/>
        <v>SUV</v>
      </c>
      <c r="N4" s="2">
        <f t="shared" ca="1" si="13"/>
        <v>2018</v>
      </c>
      <c r="O4" s="2" t="str">
        <f t="shared" ca="1" si="14"/>
        <v>Loja</v>
      </c>
      <c r="P4" s="2" t="str">
        <f t="shared" ca="1" si="15"/>
        <v>Sul</v>
      </c>
      <c r="Q4" s="2" t="str">
        <f t="shared" ca="1" si="16"/>
        <v>SC</v>
      </c>
      <c r="R4" s="2" t="str">
        <f t="shared" ca="1" si="17"/>
        <v>Blumenau</v>
      </c>
      <c r="S4" s="8">
        <f t="shared" ca="1" si="18"/>
        <v>2</v>
      </c>
      <c r="T4" s="10">
        <f t="shared" ca="1" si="19"/>
        <v>76654</v>
      </c>
      <c r="U4" s="10">
        <f t="shared" ca="1" si="20"/>
        <v>55190.879999999997</v>
      </c>
      <c r="V4" s="10">
        <f t="shared" ca="1" si="21"/>
        <v>153308</v>
      </c>
      <c r="W4" s="10">
        <f t="shared" ca="1" si="22"/>
        <v>110381.75999999999</v>
      </c>
      <c r="X4" s="10">
        <f t="shared" ca="1" si="23"/>
        <v>42926.240000000005</v>
      </c>
      <c r="Y4" s="12">
        <f t="shared" ca="1" si="24"/>
        <v>0.28000000000000003</v>
      </c>
      <c r="Z4" s="2" t="str">
        <f t="shared" ca="1" si="25"/>
        <v>Concluída</v>
      </c>
      <c r="AA4" s="8">
        <f t="shared" ca="1" si="26"/>
        <v>26</v>
      </c>
      <c r="AB4" s="2">
        <f t="shared" ca="1" si="27"/>
        <v>17</v>
      </c>
      <c r="AC4" s="2">
        <f t="shared" ca="1" si="28"/>
        <v>7</v>
      </c>
    </row>
    <row r="5" spans="1:29" x14ac:dyDescent="0.25">
      <c r="A5" s="14" t="str">
        <f t="shared" si="0"/>
        <v>VND-00005</v>
      </c>
      <c r="B5" s="5">
        <f t="shared" ca="1" si="1"/>
        <v>45466</v>
      </c>
      <c r="C5" s="2">
        <f t="shared" ca="1" si="2"/>
        <v>2024</v>
      </c>
      <c r="D5" s="2" t="str">
        <f t="shared" ca="1" si="3"/>
        <v>junho</v>
      </c>
      <c r="E5" s="2" t="str">
        <f t="shared" ca="1" si="4"/>
        <v>2024/06</v>
      </c>
      <c r="F5" s="14" t="str">
        <f t="shared" ca="1" si="5"/>
        <v>CLI-6282</v>
      </c>
      <c r="G5" s="2" t="str">
        <f t="shared" ca="1" si="6"/>
        <v>Lucas</v>
      </c>
      <c r="H5" s="2" t="str">
        <f t="shared" ca="1" si="7"/>
        <v>Novo</v>
      </c>
      <c r="I5" s="2" t="str">
        <f t="shared" ca="1" si="8"/>
        <v>Ricardo</v>
      </c>
      <c r="J5" s="14" t="str">
        <f t="shared" ca="1" si="9"/>
        <v>VCL-2546</v>
      </c>
      <c r="K5" s="2" t="str">
        <f t="shared" ca="1" si="10"/>
        <v>Civic</v>
      </c>
      <c r="L5" s="2" t="str">
        <f t="shared" ca="1" si="11"/>
        <v>Honda</v>
      </c>
      <c r="M5" s="2" t="str">
        <f t="shared" ca="1" si="12"/>
        <v>SUV</v>
      </c>
      <c r="N5" s="2">
        <f t="shared" ca="1" si="13"/>
        <v>2019</v>
      </c>
      <c r="O5" s="2" t="str">
        <f t="shared" ca="1" si="14"/>
        <v>Online</v>
      </c>
      <c r="P5" s="2" t="str">
        <f t="shared" ca="1" si="15"/>
        <v>Norte</v>
      </c>
      <c r="Q5" s="2" t="str">
        <f t="shared" ca="1" si="16"/>
        <v>AM</v>
      </c>
      <c r="R5" s="2" t="str">
        <f t="shared" ca="1" si="17"/>
        <v>Itacoatiara</v>
      </c>
      <c r="S5" s="8">
        <f t="shared" ca="1" si="18"/>
        <v>4</v>
      </c>
      <c r="T5" s="10">
        <f t="shared" ca="1" si="19"/>
        <v>215549</v>
      </c>
      <c r="U5" s="10">
        <f t="shared" ca="1" si="20"/>
        <v>159506.26</v>
      </c>
      <c r="V5" s="10">
        <f t="shared" ca="1" si="21"/>
        <v>862196</v>
      </c>
      <c r="W5" s="10">
        <f t="shared" ca="1" si="22"/>
        <v>638025.04</v>
      </c>
      <c r="X5" s="10">
        <f t="shared" ca="1" si="23"/>
        <v>224170.95999999996</v>
      </c>
      <c r="Y5" s="12">
        <f t="shared" ca="1" si="24"/>
        <v>0.25999999999999995</v>
      </c>
      <c r="Z5" s="2" t="str">
        <f t="shared" ca="1" si="25"/>
        <v>Em negociação</v>
      </c>
      <c r="AA5" s="8">
        <f t="shared" ca="1" si="26"/>
        <v>9</v>
      </c>
      <c r="AB5" s="2">
        <f t="shared" ca="1" si="27"/>
        <v>9</v>
      </c>
      <c r="AC5" s="2">
        <f t="shared" ca="1" si="28"/>
        <v>7</v>
      </c>
    </row>
    <row r="6" spans="1:29" x14ac:dyDescent="0.25">
      <c r="A6" s="14" t="str">
        <f t="shared" si="0"/>
        <v>VND-00006</v>
      </c>
      <c r="B6" s="5">
        <f t="shared" ca="1" si="1"/>
        <v>45755</v>
      </c>
      <c r="C6" s="2">
        <f t="shared" ca="1" si="2"/>
        <v>2025</v>
      </c>
      <c r="D6" s="2" t="str">
        <f t="shared" ca="1" si="3"/>
        <v>abril</v>
      </c>
      <c r="E6" s="2" t="str">
        <f t="shared" ca="1" si="4"/>
        <v>2025/04</v>
      </c>
      <c r="F6" s="14" t="str">
        <f t="shared" ca="1" si="5"/>
        <v>CLI-9575</v>
      </c>
      <c r="G6" s="2" t="str">
        <f t="shared" ca="1" si="6"/>
        <v>Carlos</v>
      </c>
      <c r="H6" s="2" t="str">
        <f t="shared" ca="1" si="7"/>
        <v>Novo</v>
      </c>
      <c r="I6" s="2" t="str">
        <f t="shared" ca="1" si="8"/>
        <v>Carla</v>
      </c>
      <c r="J6" s="14" t="str">
        <f t="shared" ca="1" si="9"/>
        <v>VCL-5701</v>
      </c>
      <c r="K6" s="2" t="str">
        <f t="shared" ca="1" si="10"/>
        <v>BMW X1</v>
      </c>
      <c r="L6" s="2" t="str">
        <f t="shared" ca="1" si="11"/>
        <v>BMW</v>
      </c>
      <c r="M6" s="2" t="str">
        <f t="shared" ca="1" si="12"/>
        <v>Luxo</v>
      </c>
      <c r="N6" s="2">
        <f t="shared" ca="1" si="13"/>
        <v>2020</v>
      </c>
      <c r="O6" s="2" t="str">
        <f t="shared" ca="1" si="14"/>
        <v>Loja</v>
      </c>
      <c r="P6" s="2" t="str">
        <f t="shared" ca="1" si="15"/>
        <v>Sul</v>
      </c>
      <c r="Q6" s="2" t="str">
        <f t="shared" ca="1" si="16"/>
        <v>PR</v>
      </c>
      <c r="R6" s="2" t="str">
        <f t="shared" ca="1" si="17"/>
        <v>Londrina</v>
      </c>
      <c r="S6" s="8">
        <f t="shared" ca="1" si="18"/>
        <v>4</v>
      </c>
      <c r="T6" s="10">
        <f t="shared" ca="1" si="19"/>
        <v>83595</v>
      </c>
      <c r="U6" s="10">
        <f t="shared" ca="1" si="20"/>
        <v>63532.200000000004</v>
      </c>
      <c r="V6" s="10">
        <f t="shared" ca="1" si="21"/>
        <v>334380</v>
      </c>
      <c r="W6" s="10">
        <f t="shared" ca="1" si="22"/>
        <v>254128.80000000002</v>
      </c>
      <c r="X6" s="10">
        <f t="shared" ca="1" si="23"/>
        <v>80251.199999999983</v>
      </c>
      <c r="Y6" s="12">
        <f t="shared" ca="1" si="24"/>
        <v>0.23999999999999994</v>
      </c>
      <c r="Z6" s="2" t="str">
        <f t="shared" ca="1" si="25"/>
        <v>Concluída</v>
      </c>
      <c r="AA6" s="8">
        <f t="shared" ca="1" si="26"/>
        <v>19</v>
      </c>
      <c r="AB6" s="2">
        <f t="shared" ca="1" si="27"/>
        <v>6</v>
      </c>
      <c r="AC6" s="2">
        <f t="shared" ca="1" si="28"/>
        <v>3</v>
      </c>
    </row>
    <row r="7" spans="1:29" x14ac:dyDescent="0.25">
      <c r="A7" s="14" t="str">
        <f t="shared" si="0"/>
        <v>VND-00007</v>
      </c>
      <c r="B7" s="5">
        <f t="shared" ca="1" si="1"/>
        <v>45355</v>
      </c>
      <c r="C7" s="2">
        <f t="shared" ca="1" si="2"/>
        <v>2024</v>
      </c>
      <c r="D7" s="2" t="str">
        <f t="shared" ca="1" si="3"/>
        <v>março</v>
      </c>
      <c r="E7" s="2" t="str">
        <f t="shared" ca="1" si="4"/>
        <v>2024/03</v>
      </c>
      <c r="F7" s="14" t="str">
        <f t="shared" ca="1" si="5"/>
        <v>CLI-5372</v>
      </c>
      <c r="G7" s="2" t="str">
        <f t="shared" ca="1" si="6"/>
        <v>João</v>
      </c>
      <c r="H7" s="2" t="str">
        <f t="shared" ca="1" si="7"/>
        <v>Novo</v>
      </c>
      <c r="I7" s="2" t="str">
        <f t="shared" ca="1" si="8"/>
        <v>Juliana</v>
      </c>
      <c r="J7" s="14" t="str">
        <f t="shared" ca="1" si="9"/>
        <v>VCL-9076</v>
      </c>
      <c r="K7" s="2" t="str">
        <f t="shared" ca="1" si="10"/>
        <v>Compass</v>
      </c>
      <c r="L7" s="2" t="str">
        <f t="shared" ca="1" si="11"/>
        <v>Jeep</v>
      </c>
      <c r="M7" s="2" t="str">
        <f t="shared" ca="1" si="12"/>
        <v>SUV</v>
      </c>
      <c r="N7" s="2">
        <f t="shared" ca="1" si="13"/>
        <v>2018</v>
      </c>
      <c r="O7" s="2" t="str">
        <f t="shared" ca="1" si="14"/>
        <v>Online</v>
      </c>
      <c r="P7" s="2" t="str">
        <f t="shared" ca="1" si="15"/>
        <v>Sul</v>
      </c>
      <c r="Q7" s="2" t="str">
        <f t="shared" ca="1" si="16"/>
        <v>PR</v>
      </c>
      <c r="R7" s="2" t="str">
        <f t="shared" ca="1" si="17"/>
        <v>Ponta Grossa</v>
      </c>
      <c r="S7" s="8">
        <f t="shared" ca="1" si="18"/>
        <v>6</v>
      </c>
      <c r="T7" s="10">
        <f t="shared" ca="1" si="19"/>
        <v>209211</v>
      </c>
      <c r="U7" s="10">
        <f t="shared" ca="1" si="20"/>
        <v>171553.02</v>
      </c>
      <c r="V7" s="10">
        <f t="shared" ca="1" si="21"/>
        <v>1255266</v>
      </c>
      <c r="W7" s="10">
        <f t="shared" ca="1" si="22"/>
        <v>1029318.1199999999</v>
      </c>
      <c r="X7" s="10">
        <f t="shared" ca="1" si="23"/>
        <v>225947.88000000012</v>
      </c>
      <c r="Y7" s="12">
        <f t="shared" ca="1" si="24"/>
        <v>0.1800000000000001</v>
      </c>
      <c r="Z7" s="2" t="str">
        <f t="shared" ca="1" si="25"/>
        <v>Em negociação</v>
      </c>
      <c r="AA7" s="8">
        <f t="shared" ca="1" si="26"/>
        <v>4</v>
      </c>
      <c r="AB7" s="2">
        <f t="shared" ca="1" si="27"/>
        <v>16</v>
      </c>
      <c r="AC7" s="2">
        <f t="shared" ca="1" si="28"/>
        <v>7</v>
      </c>
    </row>
    <row r="8" spans="1:29" x14ac:dyDescent="0.25">
      <c r="A8" s="14" t="str">
        <f t="shared" si="0"/>
        <v>VND-00008</v>
      </c>
      <c r="B8" s="5">
        <f t="shared" ca="1" si="1"/>
        <v>45212</v>
      </c>
      <c r="C8" s="2">
        <f t="shared" ca="1" si="2"/>
        <v>2023</v>
      </c>
      <c r="D8" s="2" t="str">
        <f t="shared" ca="1" si="3"/>
        <v>outubro</v>
      </c>
      <c r="E8" s="2" t="str">
        <f t="shared" ca="1" si="4"/>
        <v>2023/10</v>
      </c>
      <c r="F8" s="14" t="str">
        <f t="shared" ca="1" si="5"/>
        <v>CLI-8456</v>
      </c>
      <c r="G8" s="2" t="str">
        <f t="shared" ca="1" si="6"/>
        <v>Carlos</v>
      </c>
      <c r="H8" s="2" t="str">
        <f t="shared" ca="1" si="7"/>
        <v>Novo</v>
      </c>
      <c r="I8" s="2" t="str">
        <f t="shared" ca="1" si="8"/>
        <v>Marcos</v>
      </c>
      <c r="J8" s="14" t="str">
        <f t="shared" ca="1" si="9"/>
        <v>VCL-2926</v>
      </c>
      <c r="K8" s="2" t="str">
        <f t="shared" ca="1" si="10"/>
        <v>Compass</v>
      </c>
      <c r="L8" s="2" t="str">
        <f t="shared" ca="1" si="11"/>
        <v>Jeep</v>
      </c>
      <c r="M8" s="2" t="str">
        <f t="shared" ca="1" si="12"/>
        <v>SUV</v>
      </c>
      <c r="N8" s="2">
        <f t="shared" ca="1" si="13"/>
        <v>2019</v>
      </c>
      <c r="O8" s="2" t="str">
        <f t="shared" ca="1" si="14"/>
        <v>Loja</v>
      </c>
      <c r="P8" s="2" t="str">
        <f t="shared" ca="1" si="15"/>
        <v>Sul</v>
      </c>
      <c r="Q8" s="2" t="str">
        <f t="shared" ca="1" si="16"/>
        <v>RS</v>
      </c>
      <c r="R8" s="2" t="str">
        <f t="shared" ca="1" si="17"/>
        <v>Porto Alegre</v>
      </c>
      <c r="S8" s="8">
        <f t="shared" ca="1" si="18"/>
        <v>6</v>
      </c>
      <c r="T8" s="10">
        <f t="shared" ca="1" si="19"/>
        <v>64131</v>
      </c>
      <c r="U8" s="10">
        <f t="shared" ca="1" si="20"/>
        <v>50663.490000000005</v>
      </c>
      <c r="V8" s="10">
        <f t="shared" ca="1" si="21"/>
        <v>384786</v>
      </c>
      <c r="W8" s="10">
        <f t="shared" ca="1" si="22"/>
        <v>303980.94000000006</v>
      </c>
      <c r="X8" s="10">
        <f t="shared" ca="1" si="23"/>
        <v>80805.059999999939</v>
      </c>
      <c r="Y8" s="12">
        <f t="shared" ca="1" si="24"/>
        <v>0.20999999999999985</v>
      </c>
      <c r="Z8" s="2" t="str">
        <f t="shared" ca="1" si="25"/>
        <v>Em negociação</v>
      </c>
      <c r="AA8" s="8">
        <f t="shared" ca="1" si="26"/>
        <v>15</v>
      </c>
      <c r="AB8" s="2">
        <f t="shared" ca="1" si="27"/>
        <v>19</v>
      </c>
      <c r="AC8" s="2">
        <f t="shared" ca="1" si="28"/>
        <v>7</v>
      </c>
    </row>
    <row r="9" spans="1:29" x14ac:dyDescent="0.25">
      <c r="A9" s="14" t="str">
        <f t="shared" si="0"/>
        <v>VND-00009</v>
      </c>
      <c r="B9" s="5">
        <f t="shared" ca="1" si="1"/>
        <v>45627</v>
      </c>
      <c r="C9" s="2">
        <f t="shared" ca="1" si="2"/>
        <v>2024</v>
      </c>
      <c r="D9" s="2" t="str">
        <f t="shared" ca="1" si="3"/>
        <v>dezembro</v>
      </c>
      <c r="E9" s="2" t="str">
        <f t="shared" ca="1" si="4"/>
        <v>2024/12</v>
      </c>
      <c r="F9" s="14" t="str">
        <f t="shared" ca="1" si="5"/>
        <v>CLI-5012</v>
      </c>
      <c r="G9" s="2" t="str">
        <f t="shared" ca="1" si="6"/>
        <v>Fernanda</v>
      </c>
      <c r="H9" s="2" t="str">
        <f t="shared" ca="1" si="7"/>
        <v>Novo</v>
      </c>
      <c r="I9" s="2" t="str">
        <f t="shared" ca="1" si="8"/>
        <v>Larissa</v>
      </c>
      <c r="J9" s="14" t="str">
        <f t="shared" ca="1" si="9"/>
        <v>VCL-9189</v>
      </c>
      <c r="K9" s="2" t="str">
        <f t="shared" ca="1" si="10"/>
        <v>Corolla</v>
      </c>
      <c r="L9" s="2" t="str">
        <f t="shared" ca="1" si="11"/>
        <v>Toyota</v>
      </c>
      <c r="M9" s="2" t="str">
        <f t="shared" ca="1" si="12"/>
        <v>SUV</v>
      </c>
      <c r="N9" s="2">
        <f t="shared" ca="1" si="13"/>
        <v>2020</v>
      </c>
      <c r="O9" s="2" t="str">
        <f t="shared" ca="1" si="14"/>
        <v>Loja</v>
      </c>
      <c r="P9" s="2" t="str">
        <f t="shared" ca="1" si="15"/>
        <v>Centro-Oeste</v>
      </c>
      <c r="Q9" s="2" t="str">
        <f t="shared" ca="1" si="16"/>
        <v>DF</v>
      </c>
      <c r="R9" s="2" t="str">
        <f t="shared" ca="1" si="17"/>
        <v>Ceilândia</v>
      </c>
      <c r="S9" s="8">
        <f t="shared" ca="1" si="18"/>
        <v>5</v>
      </c>
      <c r="T9" s="10">
        <f t="shared" ca="1" si="19"/>
        <v>174272</v>
      </c>
      <c r="U9" s="10">
        <f t="shared" ca="1" si="20"/>
        <v>139417.60000000001</v>
      </c>
      <c r="V9" s="10">
        <f t="shared" ca="1" si="21"/>
        <v>871360</v>
      </c>
      <c r="W9" s="10">
        <f t="shared" ca="1" si="22"/>
        <v>697088</v>
      </c>
      <c r="X9" s="10">
        <f t="shared" ca="1" si="23"/>
        <v>174272</v>
      </c>
      <c r="Y9" s="12">
        <f t="shared" ca="1" si="24"/>
        <v>0.2</v>
      </c>
      <c r="Z9" s="2" t="str">
        <f t="shared" ca="1" si="25"/>
        <v>Em negociação</v>
      </c>
      <c r="AA9" s="8">
        <f t="shared" ca="1" si="26"/>
        <v>25</v>
      </c>
      <c r="AB9" s="2">
        <f t="shared" ca="1" si="27"/>
        <v>10</v>
      </c>
      <c r="AC9" s="2">
        <f t="shared" ca="1" si="28"/>
        <v>7</v>
      </c>
    </row>
    <row r="10" spans="1:29" x14ac:dyDescent="0.25">
      <c r="A10" s="14" t="str">
        <f t="shared" si="0"/>
        <v>VND-00010</v>
      </c>
      <c r="B10" s="5">
        <f t="shared" ca="1" si="1"/>
        <v>45047</v>
      </c>
      <c r="C10" s="2">
        <f t="shared" ca="1" si="2"/>
        <v>2023</v>
      </c>
      <c r="D10" s="2" t="str">
        <f t="shared" ca="1" si="3"/>
        <v>maio</v>
      </c>
      <c r="E10" s="2" t="str">
        <f t="shared" ca="1" si="4"/>
        <v>2023/05</v>
      </c>
      <c r="F10" s="14" t="str">
        <f t="shared" ca="1" si="5"/>
        <v>CLI-6336</v>
      </c>
      <c r="G10" s="2" t="str">
        <f t="shared" ca="1" si="6"/>
        <v>Ana</v>
      </c>
      <c r="H10" s="2" t="str">
        <f t="shared" ca="1" si="7"/>
        <v>Novo</v>
      </c>
      <c r="I10" s="2" t="str">
        <f t="shared" ca="1" si="8"/>
        <v>Eduardo</v>
      </c>
      <c r="J10" s="14" t="str">
        <f t="shared" ca="1" si="9"/>
        <v>VCL-9597</v>
      </c>
      <c r="K10" s="2" t="str">
        <f t="shared" ca="1" si="10"/>
        <v>Corolla</v>
      </c>
      <c r="L10" s="2" t="str">
        <f t="shared" ca="1" si="11"/>
        <v>Toyota</v>
      </c>
      <c r="M10" s="2" t="str">
        <f t="shared" ca="1" si="12"/>
        <v>SUV</v>
      </c>
      <c r="N10" s="2">
        <f t="shared" ca="1" si="13"/>
        <v>2018</v>
      </c>
      <c r="O10" s="2" t="str">
        <f t="shared" ca="1" si="14"/>
        <v>Loja</v>
      </c>
      <c r="P10" s="2" t="str">
        <f t="shared" ca="1" si="15"/>
        <v>Centro-Oeste</v>
      </c>
      <c r="Q10" s="2" t="str">
        <f t="shared" ca="1" si="16"/>
        <v>MT</v>
      </c>
      <c r="R10" s="2" t="str">
        <f t="shared" ca="1" si="17"/>
        <v>Sinop</v>
      </c>
      <c r="S10" s="8">
        <f t="shared" ca="1" si="18"/>
        <v>5</v>
      </c>
      <c r="T10" s="10">
        <f t="shared" ca="1" si="19"/>
        <v>189062</v>
      </c>
      <c r="U10" s="10">
        <f t="shared" ca="1" si="20"/>
        <v>134234.01999999999</v>
      </c>
      <c r="V10" s="10">
        <f t="shared" ca="1" si="21"/>
        <v>945310</v>
      </c>
      <c r="W10" s="10">
        <f t="shared" ca="1" si="22"/>
        <v>671170.1</v>
      </c>
      <c r="X10" s="10">
        <f t="shared" ca="1" si="23"/>
        <v>274139.90000000002</v>
      </c>
      <c r="Y10" s="12">
        <f t="shared" ca="1" si="24"/>
        <v>0.29000000000000004</v>
      </c>
      <c r="Z10" s="2" t="str">
        <f t="shared" ca="1" si="25"/>
        <v>Concluída</v>
      </c>
      <c r="AA10" s="8">
        <f t="shared" ca="1" si="26"/>
        <v>12</v>
      </c>
      <c r="AB10" s="2">
        <f t="shared" ca="1" si="27"/>
        <v>17</v>
      </c>
      <c r="AC10" s="2">
        <f t="shared" ca="1" si="28"/>
        <v>7</v>
      </c>
    </row>
    <row r="11" spans="1:29" x14ac:dyDescent="0.25">
      <c r="A11" s="14" t="str">
        <f t="shared" si="0"/>
        <v>VND-00011</v>
      </c>
      <c r="B11" s="5">
        <f t="shared" ca="1" si="1"/>
        <v>45209</v>
      </c>
      <c r="C11" s="2">
        <f t="shared" ca="1" si="2"/>
        <v>2023</v>
      </c>
      <c r="D11" s="2" t="str">
        <f t="shared" ca="1" si="3"/>
        <v>outubro</v>
      </c>
      <c r="E11" s="2" t="str">
        <f t="shared" ca="1" si="4"/>
        <v>2023/10</v>
      </c>
      <c r="F11" s="14" t="str">
        <f t="shared" ca="1" si="5"/>
        <v>CLI-5430</v>
      </c>
      <c r="G11" s="2" t="str">
        <f t="shared" ca="1" si="6"/>
        <v>Fernanda</v>
      </c>
      <c r="H11" s="2" t="str">
        <f t="shared" ca="1" si="7"/>
        <v>Novo</v>
      </c>
      <c r="I11" s="2" t="str">
        <f t="shared" ca="1" si="8"/>
        <v>Amanda</v>
      </c>
      <c r="J11" s="14" t="str">
        <f t="shared" ca="1" si="9"/>
        <v>VCL-4987</v>
      </c>
      <c r="K11" s="2" t="str">
        <f t="shared" ca="1" si="10"/>
        <v>Compass</v>
      </c>
      <c r="L11" s="2" t="str">
        <f t="shared" ca="1" si="11"/>
        <v>Jeep</v>
      </c>
      <c r="M11" s="2" t="str">
        <f t="shared" ca="1" si="12"/>
        <v>SUV</v>
      </c>
      <c r="N11" s="2">
        <f t="shared" ca="1" si="13"/>
        <v>2020</v>
      </c>
      <c r="O11" s="2" t="str">
        <f t="shared" ca="1" si="14"/>
        <v>Loja</v>
      </c>
      <c r="P11" s="2" t="str">
        <f t="shared" ca="1" si="15"/>
        <v>Norte</v>
      </c>
      <c r="Q11" s="2" t="str">
        <f t="shared" ca="1" si="16"/>
        <v>PA</v>
      </c>
      <c r="R11" s="2" t="str">
        <f t="shared" ca="1" si="17"/>
        <v>Belém</v>
      </c>
      <c r="S11" s="8">
        <f t="shared" ca="1" si="18"/>
        <v>2</v>
      </c>
      <c r="T11" s="10">
        <f t="shared" ca="1" si="19"/>
        <v>77149</v>
      </c>
      <c r="U11" s="10">
        <f t="shared" ca="1" si="20"/>
        <v>64805.159999999996</v>
      </c>
      <c r="V11" s="10">
        <f t="shared" ca="1" si="21"/>
        <v>154298</v>
      </c>
      <c r="W11" s="10">
        <f t="shared" ca="1" si="22"/>
        <v>129610.31999999999</v>
      </c>
      <c r="X11" s="10">
        <f t="shared" ca="1" si="23"/>
        <v>24687.680000000008</v>
      </c>
      <c r="Y11" s="12">
        <f t="shared" ca="1" si="24"/>
        <v>0.16000000000000006</v>
      </c>
      <c r="Z11" s="2" t="str">
        <f t="shared" ca="1" si="25"/>
        <v>Concluída</v>
      </c>
      <c r="AA11" s="8">
        <f t="shared" ca="1" si="26"/>
        <v>20</v>
      </c>
      <c r="AB11" s="2">
        <f t="shared" ca="1" si="27"/>
        <v>19</v>
      </c>
      <c r="AC11" s="2">
        <f t="shared" ca="1" si="28"/>
        <v>7</v>
      </c>
    </row>
    <row r="12" spans="1:29" x14ac:dyDescent="0.25">
      <c r="A12" s="14" t="str">
        <f t="shared" si="0"/>
        <v>VND-00012</v>
      </c>
      <c r="B12" s="5">
        <f t="shared" ca="1" si="1"/>
        <v>45398</v>
      </c>
      <c r="C12" s="2">
        <f t="shared" ca="1" si="2"/>
        <v>2024</v>
      </c>
      <c r="D12" s="2" t="str">
        <f t="shared" ca="1" si="3"/>
        <v>abril</v>
      </c>
      <c r="E12" s="2" t="str">
        <f t="shared" ca="1" si="4"/>
        <v>2024/04</v>
      </c>
      <c r="F12" s="14" t="str">
        <f t="shared" ca="1" si="5"/>
        <v>CLI-4452</v>
      </c>
      <c r="G12" s="2" t="str">
        <f t="shared" ca="1" si="6"/>
        <v>João</v>
      </c>
      <c r="H12" s="2" t="str">
        <f t="shared" ca="1" si="7"/>
        <v>Recorrente</v>
      </c>
      <c r="I12" s="2" t="str">
        <f t="shared" ca="1" si="8"/>
        <v>João</v>
      </c>
      <c r="J12" s="14" t="str">
        <f t="shared" ca="1" si="9"/>
        <v>VCL-5489</v>
      </c>
      <c r="K12" s="2" t="str">
        <f t="shared" ca="1" si="10"/>
        <v>BMW X1</v>
      </c>
      <c r="L12" s="2" t="str">
        <f t="shared" ca="1" si="11"/>
        <v>BMW</v>
      </c>
      <c r="M12" s="2" t="str">
        <f t="shared" ca="1" si="12"/>
        <v>Luxo</v>
      </c>
      <c r="N12" s="2">
        <f t="shared" ca="1" si="13"/>
        <v>2020</v>
      </c>
      <c r="O12" s="2" t="str">
        <f t="shared" ca="1" si="14"/>
        <v>Online</v>
      </c>
      <c r="P12" s="2" t="str">
        <f t="shared" ca="1" si="15"/>
        <v>Sudeste</v>
      </c>
      <c r="Q12" s="2" t="str">
        <f t="shared" ca="1" si="16"/>
        <v>RJ</v>
      </c>
      <c r="R12" s="2" t="str">
        <f t="shared" ca="1" si="17"/>
        <v>Rio de Janeiro</v>
      </c>
      <c r="S12" s="8">
        <f t="shared" ca="1" si="18"/>
        <v>8</v>
      </c>
      <c r="T12" s="10">
        <f t="shared" ca="1" si="19"/>
        <v>238372</v>
      </c>
      <c r="U12" s="10">
        <f t="shared" ca="1" si="20"/>
        <v>188313.88</v>
      </c>
      <c r="V12" s="10">
        <f t="shared" ca="1" si="21"/>
        <v>1906976</v>
      </c>
      <c r="W12" s="10">
        <f t="shared" ca="1" si="22"/>
        <v>1506511.04</v>
      </c>
      <c r="X12" s="10">
        <f t="shared" ca="1" si="23"/>
        <v>400464.95999999996</v>
      </c>
      <c r="Y12" s="12">
        <f t="shared" ca="1" si="24"/>
        <v>0.21</v>
      </c>
      <c r="Z12" s="2" t="str">
        <f t="shared" ca="1" si="25"/>
        <v>Cancelada</v>
      </c>
      <c r="AA12" s="8">
        <f t="shared" ca="1" si="26"/>
        <v>26</v>
      </c>
      <c r="AB12" s="2">
        <f t="shared" ca="1" si="27"/>
        <v>6</v>
      </c>
      <c r="AC12" s="2">
        <f t="shared" ca="1" si="28"/>
        <v>3</v>
      </c>
    </row>
    <row r="13" spans="1:29" x14ac:dyDescent="0.25">
      <c r="A13" s="14" t="str">
        <f t="shared" si="0"/>
        <v>VND-00013</v>
      </c>
      <c r="B13" s="5">
        <f t="shared" ca="1" si="1"/>
        <v>45931</v>
      </c>
      <c r="C13" s="2">
        <f t="shared" ca="1" si="2"/>
        <v>2025</v>
      </c>
      <c r="D13" s="2" t="str">
        <f t="shared" ca="1" si="3"/>
        <v>outubro</v>
      </c>
      <c r="E13" s="2" t="str">
        <f t="shared" ca="1" si="4"/>
        <v>2025/10</v>
      </c>
      <c r="F13" s="14" t="str">
        <f t="shared" ca="1" si="5"/>
        <v>CLI-6439</v>
      </c>
      <c r="G13" s="2" t="str">
        <f t="shared" ca="1" si="6"/>
        <v>Fernanda</v>
      </c>
      <c r="H13" s="2" t="str">
        <f t="shared" ca="1" si="7"/>
        <v>Novo</v>
      </c>
      <c r="I13" s="2" t="str">
        <f t="shared" ca="1" si="8"/>
        <v>Tatiane</v>
      </c>
      <c r="J13" s="14" t="str">
        <f t="shared" ca="1" si="9"/>
        <v>VCL-3055</v>
      </c>
      <c r="K13" s="2" t="str">
        <f t="shared" ca="1" si="10"/>
        <v>Compass</v>
      </c>
      <c r="L13" s="2" t="str">
        <f t="shared" ca="1" si="11"/>
        <v>Jeep</v>
      </c>
      <c r="M13" s="2" t="str">
        <f t="shared" ca="1" si="12"/>
        <v>SUV</v>
      </c>
      <c r="N13" s="2">
        <f t="shared" ca="1" si="13"/>
        <v>2023</v>
      </c>
      <c r="O13" s="2" t="str">
        <f t="shared" ca="1" si="14"/>
        <v>Loja</v>
      </c>
      <c r="P13" s="2" t="str">
        <f t="shared" ca="1" si="15"/>
        <v>Norte</v>
      </c>
      <c r="Q13" s="2" t="str">
        <f t="shared" ca="1" si="16"/>
        <v>AM</v>
      </c>
      <c r="R13" s="2" t="str">
        <f t="shared" ca="1" si="17"/>
        <v>Manacapuru</v>
      </c>
      <c r="S13" s="8">
        <f t="shared" ca="1" si="18"/>
        <v>9</v>
      </c>
      <c r="T13" s="10">
        <f t="shared" ca="1" si="19"/>
        <v>168157</v>
      </c>
      <c r="U13" s="10">
        <f t="shared" ca="1" si="20"/>
        <v>134525.6</v>
      </c>
      <c r="V13" s="10">
        <f t="shared" ca="1" si="21"/>
        <v>1513413</v>
      </c>
      <c r="W13" s="10">
        <f t="shared" ca="1" si="22"/>
        <v>1210730.4000000001</v>
      </c>
      <c r="X13" s="10">
        <f t="shared" ca="1" si="23"/>
        <v>302682.59999999986</v>
      </c>
      <c r="Y13" s="12">
        <f t="shared" ca="1" si="24"/>
        <v>0.1999999999999999</v>
      </c>
      <c r="Z13" s="2" t="str">
        <f t="shared" ca="1" si="25"/>
        <v>Em negociação</v>
      </c>
      <c r="AA13" s="8">
        <f t="shared" ca="1" si="26"/>
        <v>18</v>
      </c>
      <c r="AB13" s="2">
        <f t="shared" ca="1" si="27"/>
        <v>5</v>
      </c>
      <c r="AC13" s="2">
        <f t="shared" ca="1" si="28"/>
        <v>7</v>
      </c>
    </row>
    <row r="14" spans="1:29" x14ac:dyDescent="0.25">
      <c r="A14" s="14" t="str">
        <f t="shared" si="0"/>
        <v>VND-00014</v>
      </c>
      <c r="B14" s="5">
        <f t="shared" ca="1" si="1"/>
        <v>45858</v>
      </c>
      <c r="C14" s="2">
        <f t="shared" ca="1" si="2"/>
        <v>2025</v>
      </c>
      <c r="D14" s="2" t="str">
        <f t="shared" ca="1" si="3"/>
        <v>julho</v>
      </c>
      <c r="E14" s="2" t="str">
        <f t="shared" ca="1" si="4"/>
        <v>2025/07</v>
      </c>
      <c r="F14" s="14" t="str">
        <f t="shared" ca="1" si="5"/>
        <v>CLI-7179</v>
      </c>
      <c r="G14" s="2" t="str">
        <f t="shared" ca="1" si="6"/>
        <v>Maria</v>
      </c>
      <c r="H14" s="2" t="str">
        <f t="shared" ca="1" si="7"/>
        <v>Recorrente</v>
      </c>
      <c r="I14" s="2" t="str">
        <f t="shared" ca="1" si="8"/>
        <v>Amanda</v>
      </c>
      <c r="J14" s="14" t="str">
        <f t="shared" ca="1" si="9"/>
        <v>VCL-1606</v>
      </c>
      <c r="K14" s="2" t="str">
        <f t="shared" ca="1" si="10"/>
        <v>BMW X1</v>
      </c>
      <c r="L14" s="2" t="str">
        <f t="shared" ca="1" si="11"/>
        <v>BMW</v>
      </c>
      <c r="M14" s="2" t="str">
        <f t="shared" ca="1" si="12"/>
        <v>Luxo</v>
      </c>
      <c r="N14" s="2">
        <f t="shared" ca="1" si="13"/>
        <v>2016</v>
      </c>
      <c r="O14" s="2" t="str">
        <f t="shared" ca="1" si="14"/>
        <v>Loja</v>
      </c>
      <c r="P14" s="2" t="str">
        <f t="shared" ca="1" si="15"/>
        <v>Norte</v>
      </c>
      <c r="Q14" s="2" t="str">
        <f t="shared" ca="1" si="16"/>
        <v>PA</v>
      </c>
      <c r="R14" s="2" t="str">
        <f t="shared" ca="1" si="17"/>
        <v>Belém</v>
      </c>
      <c r="S14" s="8">
        <f t="shared" ca="1" si="18"/>
        <v>9</v>
      </c>
      <c r="T14" s="10">
        <f t="shared" ca="1" si="19"/>
        <v>178082</v>
      </c>
      <c r="U14" s="10">
        <f t="shared" ca="1" si="20"/>
        <v>137123.14000000001</v>
      </c>
      <c r="V14" s="10">
        <f t="shared" ca="1" si="21"/>
        <v>1602738</v>
      </c>
      <c r="W14" s="10">
        <f t="shared" ca="1" si="22"/>
        <v>1234108.2600000002</v>
      </c>
      <c r="X14" s="10">
        <f t="shared" ca="1" si="23"/>
        <v>368629.73999999976</v>
      </c>
      <c r="Y14" s="12">
        <f t="shared" ca="1" si="24"/>
        <v>0.22999999999999984</v>
      </c>
      <c r="Z14" s="2" t="str">
        <f t="shared" ca="1" si="25"/>
        <v>Concluída</v>
      </c>
      <c r="AA14" s="8">
        <f t="shared" ca="1" si="26"/>
        <v>5</v>
      </c>
      <c r="AB14" s="2">
        <f t="shared" ca="1" si="27"/>
        <v>8</v>
      </c>
      <c r="AC14" s="2">
        <f t="shared" ca="1" si="28"/>
        <v>3</v>
      </c>
    </row>
    <row r="15" spans="1:29" x14ac:dyDescent="0.25">
      <c r="A15" s="14" t="str">
        <f t="shared" si="0"/>
        <v>VND-00015</v>
      </c>
      <c r="B15" s="5">
        <f t="shared" ca="1" si="1"/>
        <v>45069</v>
      </c>
      <c r="C15" s="2">
        <f t="shared" ca="1" si="2"/>
        <v>2023</v>
      </c>
      <c r="D15" s="2" t="str">
        <f t="shared" ca="1" si="3"/>
        <v>maio</v>
      </c>
      <c r="E15" s="2" t="str">
        <f t="shared" ca="1" si="4"/>
        <v>2023/05</v>
      </c>
      <c r="F15" s="14" t="str">
        <f t="shared" ca="1" si="5"/>
        <v>CLI-7137</v>
      </c>
      <c r="G15" s="2" t="str">
        <f t="shared" ca="1" si="6"/>
        <v>Ana</v>
      </c>
      <c r="H15" s="2" t="str">
        <f t="shared" ca="1" si="7"/>
        <v>Recorrente</v>
      </c>
      <c r="I15" s="2" t="str">
        <f t="shared" ca="1" si="8"/>
        <v>Carla</v>
      </c>
      <c r="J15" s="14" t="str">
        <f t="shared" ca="1" si="9"/>
        <v>VCL-1055</v>
      </c>
      <c r="K15" s="2" t="str">
        <f t="shared" ca="1" si="10"/>
        <v>Civic</v>
      </c>
      <c r="L15" s="2" t="str">
        <f t="shared" ca="1" si="11"/>
        <v>Honda</v>
      </c>
      <c r="M15" s="2" t="str">
        <f t="shared" ca="1" si="12"/>
        <v>SUV</v>
      </c>
      <c r="N15" s="2">
        <f t="shared" ca="1" si="13"/>
        <v>2021</v>
      </c>
      <c r="O15" s="2" t="str">
        <f t="shared" ca="1" si="14"/>
        <v>Loja</v>
      </c>
      <c r="P15" s="2" t="str">
        <f t="shared" ca="1" si="15"/>
        <v>Sul</v>
      </c>
      <c r="Q15" s="2" t="str">
        <f t="shared" ca="1" si="16"/>
        <v>PR</v>
      </c>
      <c r="R15" s="2" t="str">
        <f t="shared" ca="1" si="17"/>
        <v>Ponta Grossa</v>
      </c>
      <c r="S15" s="8">
        <f t="shared" ca="1" si="18"/>
        <v>2</v>
      </c>
      <c r="T15" s="10">
        <f t="shared" ca="1" si="19"/>
        <v>82875</v>
      </c>
      <c r="U15" s="10">
        <f t="shared" ca="1" si="20"/>
        <v>67128.75</v>
      </c>
      <c r="V15" s="10">
        <f t="shared" ca="1" si="21"/>
        <v>165750</v>
      </c>
      <c r="W15" s="10">
        <f t="shared" ca="1" si="22"/>
        <v>134257.5</v>
      </c>
      <c r="X15" s="10">
        <f t="shared" ca="1" si="23"/>
        <v>31492.5</v>
      </c>
      <c r="Y15" s="12">
        <f t="shared" ca="1" si="24"/>
        <v>0.19</v>
      </c>
      <c r="Z15" s="2" t="str">
        <f t="shared" ca="1" si="25"/>
        <v>Cancelada</v>
      </c>
      <c r="AA15" s="8">
        <f t="shared" ca="1" si="26"/>
        <v>22</v>
      </c>
      <c r="AB15" s="2">
        <f t="shared" ca="1" si="27"/>
        <v>14</v>
      </c>
      <c r="AC15" s="2">
        <f t="shared" ca="1" si="28"/>
        <v>7</v>
      </c>
    </row>
    <row r="16" spans="1:29" x14ac:dyDescent="0.25">
      <c r="A16" s="14" t="str">
        <f t="shared" si="0"/>
        <v>VND-00016</v>
      </c>
      <c r="B16" s="5">
        <f t="shared" ca="1" si="1"/>
        <v>45634</v>
      </c>
      <c r="C16" s="2">
        <f t="shared" ca="1" si="2"/>
        <v>2024</v>
      </c>
      <c r="D16" s="2" t="str">
        <f t="shared" ca="1" si="3"/>
        <v>dezembro</v>
      </c>
      <c r="E16" s="2" t="str">
        <f t="shared" ca="1" si="4"/>
        <v>2024/12</v>
      </c>
      <c r="F16" s="14" t="str">
        <f t="shared" ca="1" si="5"/>
        <v>CLI-2279</v>
      </c>
      <c r="G16" s="2" t="str">
        <f t="shared" ca="1" si="6"/>
        <v>Juliana</v>
      </c>
      <c r="H16" s="2" t="str">
        <f t="shared" ca="1" si="7"/>
        <v>Recorrente</v>
      </c>
      <c r="I16" s="2" t="str">
        <f t="shared" ca="1" si="8"/>
        <v>Carla</v>
      </c>
      <c r="J16" s="14" t="str">
        <f t="shared" ca="1" si="9"/>
        <v>VCL-2766</v>
      </c>
      <c r="K16" s="2" t="str">
        <f t="shared" ca="1" si="10"/>
        <v>HB20</v>
      </c>
      <c r="L16" s="2" t="str">
        <f t="shared" ca="1" si="11"/>
        <v>Hyundai</v>
      </c>
      <c r="M16" s="2" t="str">
        <f t="shared" ca="1" si="12"/>
        <v>Popular</v>
      </c>
      <c r="N16" s="2">
        <f t="shared" ca="1" si="13"/>
        <v>2024</v>
      </c>
      <c r="O16" s="2" t="str">
        <f t="shared" ca="1" si="14"/>
        <v>Loja</v>
      </c>
      <c r="P16" s="2" t="str">
        <f t="shared" ca="1" si="15"/>
        <v>Sul</v>
      </c>
      <c r="Q16" s="2" t="str">
        <f t="shared" ca="1" si="16"/>
        <v>PR</v>
      </c>
      <c r="R16" s="2" t="str">
        <f t="shared" ca="1" si="17"/>
        <v>Ponta Grossa</v>
      </c>
      <c r="S16" s="8">
        <f t="shared" ca="1" si="18"/>
        <v>5</v>
      </c>
      <c r="T16" s="10">
        <f t="shared" ca="1" si="19"/>
        <v>182056</v>
      </c>
      <c r="U16" s="10">
        <f t="shared" ca="1" si="20"/>
        <v>132900.88</v>
      </c>
      <c r="V16" s="10">
        <f t="shared" ca="1" si="21"/>
        <v>910280</v>
      </c>
      <c r="W16" s="10">
        <f t="shared" ca="1" si="22"/>
        <v>664504.4</v>
      </c>
      <c r="X16" s="10">
        <f t="shared" ca="1" si="23"/>
        <v>245775.59999999998</v>
      </c>
      <c r="Y16" s="12">
        <f t="shared" ca="1" si="24"/>
        <v>0.26999999999999996</v>
      </c>
      <c r="Z16" s="2" t="str">
        <f t="shared" ca="1" si="25"/>
        <v>Cancelada</v>
      </c>
      <c r="AA16" s="8">
        <f t="shared" ca="1" si="26"/>
        <v>22</v>
      </c>
      <c r="AB16" s="2">
        <f t="shared" ca="1" si="27"/>
        <v>24</v>
      </c>
      <c r="AC16" s="2">
        <f t="shared" ca="1" si="28"/>
        <v>10</v>
      </c>
    </row>
    <row r="17" spans="1:29" x14ac:dyDescent="0.25">
      <c r="A17" s="14" t="str">
        <f t="shared" si="0"/>
        <v>VND-00017</v>
      </c>
      <c r="B17" s="5">
        <f t="shared" ca="1" si="1"/>
        <v>45974</v>
      </c>
      <c r="C17" s="2">
        <f t="shared" ca="1" si="2"/>
        <v>2025</v>
      </c>
      <c r="D17" s="2" t="str">
        <f t="shared" ca="1" si="3"/>
        <v>novembro</v>
      </c>
      <c r="E17" s="2" t="str">
        <f t="shared" ca="1" si="4"/>
        <v>2025/11</v>
      </c>
      <c r="F17" s="14" t="str">
        <f t="shared" ca="1" si="5"/>
        <v>CLI-5296</v>
      </c>
      <c r="G17" s="2" t="str">
        <f t="shared" ca="1" si="6"/>
        <v>João</v>
      </c>
      <c r="H17" s="2" t="str">
        <f t="shared" ca="1" si="7"/>
        <v>Recorrente</v>
      </c>
      <c r="I17" s="2" t="str">
        <f t="shared" ca="1" si="8"/>
        <v>Carla</v>
      </c>
      <c r="J17" s="14" t="str">
        <f t="shared" ca="1" si="9"/>
        <v>VCL-2865</v>
      </c>
      <c r="K17" s="2" t="str">
        <f t="shared" ca="1" si="10"/>
        <v>Compass</v>
      </c>
      <c r="L17" s="2" t="str">
        <f t="shared" ca="1" si="11"/>
        <v>Jeep</v>
      </c>
      <c r="M17" s="2" t="str">
        <f t="shared" ca="1" si="12"/>
        <v>SUV</v>
      </c>
      <c r="N17" s="2">
        <f t="shared" ca="1" si="13"/>
        <v>2023</v>
      </c>
      <c r="O17" s="2" t="str">
        <f t="shared" ca="1" si="14"/>
        <v>Loja</v>
      </c>
      <c r="P17" s="2" t="str">
        <f t="shared" ca="1" si="15"/>
        <v>Sul</v>
      </c>
      <c r="Q17" s="2" t="str">
        <f t="shared" ca="1" si="16"/>
        <v>RS</v>
      </c>
      <c r="R17" s="2" t="str">
        <f t="shared" ca="1" si="17"/>
        <v>Canoas</v>
      </c>
      <c r="S17" s="8">
        <f t="shared" ca="1" si="18"/>
        <v>5</v>
      </c>
      <c r="T17" s="10">
        <f t="shared" ca="1" si="19"/>
        <v>240246</v>
      </c>
      <c r="U17" s="10">
        <f t="shared" ca="1" si="20"/>
        <v>182586.96</v>
      </c>
      <c r="V17" s="10">
        <f t="shared" ca="1" si="21"/>
        <v>1201230</v>
      </c>
      <c r="W17" s="10">
        <f t="shared" ca="1" si="22"/>
        <v>912934.79999999993</v>
      </c>
      <c r="X17" s="10">
        <f t="shared" ca="1" si="23"/>
        <v>288295.20000000007</v>
      </c>
      <c r="Y17" s="12">
        <f t="shared" ca="1" si="24"/>
        <v>0.24000000000000005</v>
      </c>
      <c r="Z17" s="2" t="str">
        <f t="shared" ca="1" si="25"/>
        <v>Concluída</v>
      </c>
      <c r="AA17" s="8">
        <f t="shared" ca="1" si="26"/>
        <v>28</v>
      </c>
      <c r="AB17" s="2">
        <f t="shared" ca="1" si="27"/>
        <v>12</v>
      </c>
      <c r="AC17" s="2">
        <f t="shared" ca="1" si="28"/>
        <v>7</v>
      </c>
    </row>
    <row r="18" spans="1:29" x14ac:dyDescent="0.25">
      <c r="A18" s="14" t="str">
        <f t="shared" si="0"/>
        <v>VND-00018</v>
      </c>
      <c r="B18" s="5">
        <f t="shared" ca="1" si="1"/>
        <v>45912</v>
      </c>
      <c r="C18" s="2">
        <f t="shared" ca="1" si="2"/>
        <v>2025</v>
      </c>
      <c r="D18" s="2" t="str">
        <f t="shared" ca="1" si="3"/>
        <v>setembro</v>
      </c>
      <c r="E18" s="2" t="str">
        <f t="shared" ca="1" si="4"/>
        <v>2025/09</v>
      </c>
      <c r="F18" s="14" t="str">
        <f t="shared" ca="1" si="5"/>
        <v>CLI-5349</v>
      </c>
      <c r="G18" s="2" t="str">
        <f t="shared" ca="1" si="6"/>
        <v>Lucas</v>
      </c>
      <c r="H18" s="2" t="str">
        <f t="shared" ca="1" si="7"/>
        <v>Novo</v>
      </c>
      <c r="I18" s="2" t="str">
        <f t="shared" ca="1" si="8"/>
        <v>Amanda</v>
      </c>
      <c r="J18" s="14" t="str">
        <f t="shared" ca="1" si="9"/>
        <v>VCL-9877</v>
      </c>
      <c r="K18" s="2" t="str">
        <f t="shared" ca="1" si="10"/>
        <v>BMW X1</v>
      </c>
      <c r="L18" s="2" t="str">
        <f t="shared" ca="1" si="11"/>
        <v>BMW</v>
      </c>
      <c r="M18" s="2" t="str">
        <f t="shared" ca="1" si="12"/>
        <v>Luxo</v>
      </c>
      <c r="N18" s="2">
        <f t="shared" ca="1" si="13"/>
        <v>2020</v>
      </c>
      <c r="O18" s="2" t="str">
        <f t="shared" ca="1" si="14"/>
        <v>Loja</v>
      </c>
      <c r="P18" s="2" t="str">
        <f t="shared" ca="1" si="15"/>
        <v>Norte</v>
      </c>
      <c r="Q18" s="2" t="str">
        <f t="shared" ca="1" si="16"/>
        <v>PA</v>
      </c>
      <c r="R18" s="2" t="str">
        <f t="shared" ca="1" si="17"/>
        <v>Ananindeua</v>
      </c>
      <c r="S18" s="8">
        <f t="shared" ca="1" si="18"/>
        <v>4</v>
      </c>
      <c r="T18" s="10">
        <f t="shared" ca="1" si="19"/>
        <v>163062</v>
      </c>
      <c r="U18" s="10">
        <f t="shared" ca="1" si="20"/>
        <v>135341.46</v>
      </c>
      <c r="V18" s="10">
        <f t="shared" ca="1" si="21"/>
        <v>652248</v>
      </c>
      <c r="W18" s="10">
        <f t="shared" ca="1" si="22"/>
        <v>541365.84</v>
      </c>
      <c r="X18" s="10">
        <f t="shared" ca="1" si="23"/>
        <v>110882.16000000003</v>
      </c>
      <c r="Y18" s="12">
        <f t="shared" ca="1" si="24"/>
        <v>0.17000000000000004</v>
      </c>
      <c r="Z18" s="2" t="str">
        <f t="shared" ca="1" si="25"/>
        <v>Em negociação</v>
      </c>
      <c r="AA18" s="8">
        <f t="shared" ca="1" si="26"/>
        <v>29</v>
      </c>
      <c r="AB18" s="2">
        <f t="shared" ca="1" si="27"/>
        <v>5</v>
      </c>
      <c r="AC18" s="2">
        <f t="shared" ca="1" si="28"/>
        <v>3</v>
      </c>
    </row>
    <row r="19" spans="1:29" x14ac:dyDescent="0.25">
      <c r="A19" s="14" t="str">
        <f t="shared" si="0"/>
        <v>VND-00019</v>
      </c>
      <c r="B19" s="5">
        <f t="shared" ca="1" si="1"/>
        <v>45970</v>
      </c>
      <c r="C19" s="2">
        <f t="shared" ca="1" si="2"/>
        <v>2025</v>
      </c>
      <c r="D19" s="2" t="str">
        <f t="shared" ca="1" si="3"/>
        <v>novembro</v>
      </c>
      <c r="E19" s="2" t="str">
        <f t="shared" ca="1" si="4"/>
        <v>2025/11</v>
      </c>
      <c r="F19" s="14" t="str">
        <f t="shared" ca="1" si="5"/>
        <v>CLI-4355</v>
      </c>
      <c r="G19" s="2" t="str">
        <f t="shared" ca="1" si="6"/>
        <v>Rafael</v>
      </c>
      <c r="H19" s="2" t="str">
        <f t="shared" ca="1" si="7"/>
        <v>Recorrente</v>
      </c>
      <c r="I19" s="2" t="str">
        <f t="shared" ca="1" si="8"/>
        <v>Rafael</v>
      </c>
      <c r="J19" s="14" t="str">
        <f t="shared" ca="1" si="9"/>
        <v>VCL-6801</v>
      </c>
      <c r="K19" s="2" t="str">
        <f t="shared" ca="1" si="10"/>
        <v>Civic</v>
      </c>
      <c r="L19" s="2" t="str">
        <f t="shared" ca="1" si="11"/>
        <v>Honda</v>
      </c>
      <c r="M19" s="2" t="str">
        <f t="shared" ca="1" si="12"/>
        <v>SUV</v>
      </c>
      <c r="N19" s="2">
        <f t="shared" ca="1" si="13"/>
        <v>2024</v>
      </c>
      <c r="O19" s="2" t="str">
        <f t="shared" ca="1" si="14"/>
        <v>Loja</v>
      </c>
      <c r="P19" s="2" t="str">
        <f t="shared" ca="1" si="15"/>
        <v>Sul</v>
      </c>
      <c r="Q19" s="2" t="str">
        <f t="shared" ca="1" si="16"/>
        <v>PR</v>
      </c>
      <c r="R19" s="2" t="str">
        <f t="shared" ca="1" si="17"/>
        <v>Londrina</v>
      </c>
      <c r="S19" s="8">
        <f t="shared" ca="1" si="18"/>
        <v>3</v>
      </c>
      <c r="T19" s="10">
        <f t="shared" ca="1" si="19"/>
        <v>91570</v>
      </c>
      <c r="U19" s="10">
        <f t="shared" ca="1" si="20"/>
        <v>65014.7</v>
      </c>
      <c r="V19" s="10">
        <f t="shared" ca="1" si="21"/>
        <v>274710</v>
      </c>
      <c r="W19" s="10">
        <f t="shared" ca="1" si="22"/>
        <v>195044.09999999998</v>
      </c>
      <c r="X19" s="10">
        <f t="shared" ca="1" si="23"/>
        <v>79665.900000000023</v>
      </c>
      <c r="Y19" s="12">
        <f t="shared" ca="1" si="24"/>
        <v>0.29000000000000009</v>
      </c>
      <c r="Z19" s="2" t="str">
        <f t="shared" ca="1" si="25"/>
        <v>Concluída</v>
      </c>
      <c r="AA19" s="8">
        <f t="shared" ca="1" si="26"/>
        <v>6</v>
      </c>
      <c r="AB19" s="2">
        <f t="shared" ca="1" si="27"/>
        <v>16</v>
      </c>
      <c r="AC19" s="2">
        <f t="shared" ca="1" si="28"/>
        <v>7</v>
      </c>
    </row>
    <row r="20" spans="1:29" x14ac:dyDescent="0.25">
      <c r="A20" s="14" t="str">
        <f t="shared" si="0"/>
        <v>VND-00020</v>
      </c>
      <c r="B20" s="5">
        <f t="shared" ca="1" si="1"/>
        <v>45163</v>
      </c>
      <c r="C20" s="2">
        <f t="shared" ca="1" si="2"/>
        <v>2023</v>
      </c>
      <c r="D20" s="2" t="str">
        <f t="shared" ca="1" si="3"/>
        <v>agosto</v>
      </c>
      <c r="E20" s="2" t="str">
        <f t="shared" ca="1" si="4"/>
        <v>2023/08</v>
      </c>
      <c r="F20" s="14" t="str">
        <f t="shared" ca="1" si="5"/>
        <v>CLI-5706</v>
      </c>
      <c r="G20" s="2" t="str">
        <f t="shared" ca="1" si="6"/>
        <v>Carlos</v>
      </c>
      <c r="H20" s="2" t="str">
        <f t="shared" ca="1" si="7"/>
        <v>Novo</v>
      </c>
      <c r="I20" s="2" t="str">
        <f t="shared" ca="1" si="8"/>
        <v>Amanda</v>
      </c>
      <c r="J20" s="14" t="str">
        <f t="shared" ca="1" si="9"/>
        <v>VCL-9858</v>
      </c>
      <c r="K20" s="2" t="str">
        <f t="shared" ca="1" si="10"/>
        <v>Corolla</v>
      </c>
      <c r="L20" s="2" t="str">
        <f t="shared" ca="1" si="11"/>
        <v>Toyota</v>
      </c>
      <c r="M20" s="2" t="str">
        <f t="shared" ca="1" si="12"/>
        <v>SUV</v>
      </c>
      <c r="N20" s="2">
        <f t="shared" ca="1" si="13"/>
        <v>2018</v>
      </c>
      <c r="O20" s="2" t="str">
        <f t="shared" ca="1" si="14"/>
        <v>Loja</v>
      </c>
      <c r="P20" s="2" t="str">
        <f t="shared" ca="1" si="15"/>
        <v>Norte</v>
      </c>
      <c r="Q20" s="2" t="str">
        <f t="shared" ca="1" si="16"/>
        <v>AM</v>
      </c>
      <c r="R20" s="2" t="str">
        <f t="shared" ca="1" si="17"/>
        <v>Manacapuru</v>
      </c>
      <c r="S20" s="8">
        <f t="shared" ca="1" si="18"/>
        <v>8</v>
      </c>
      <c r="T20" s="10">
        <f t="shared" ca="1" si="19"/>
        <v>190947</v>
      </c>
      <c r="U20" s="10">
        <f t="shared" ca="1" si="20"/>
        <v>135572.37</v>
      </c>
      <c r="V20" s="10">
        <f t="shared" ca="1" si="21"/>
        <v>1527576</v>
      </c>
      <c r="W20" s="10">
        <f t="shared" ca="1" si="22"/>
        <v>1084578.96</v>
      </c>
      <c r="X20" s="10">
        <f t="shared" ca="1" si="23"/>
        <v>442997.04000000004</v>
      </c>
      <c r="Y20" s="12">
        <f t="shared" ca="1" si="24"/>
        <v>0.29000000000000004</v>
      </c>
      <c r="Z20" s="2" t="str">
        <f t="shared" ca="1" si="25"/>
        <v>Cancelada</v>
      </c>
      <c r="AA20" s="8">
        <f t="shared" ca="1" si="26"/>
        <v>17</v>
      </c>
      <c r="AB20" s="2">
        <f t="shared" ca="1" si="27"/>
        <v>13</v>
      </c>
      <c r="AC20" s="2">
        <f t="shared" ca="1" si="28"/>
        <v>7</v>
      </c>
    </row>
    <row r="21" spans="1:29" x14ac:dyDescent="0.25">
      <c r="A21" s="14" t="str">
        <f t="shared" si="0"/>
        <v>VND-00021</v>
      </c>
      <c r="B21" s="5">
        <f t="shared" ca="1" si="1"/>
        <v>45754</v>
      </c>
      <c r="C21" s="2">
        <f t="shared" ca="1" si="2"/>
        <v>2025</v>
      </c>
      <c r="D21" s="2" t="str">
        <f t="shared" ca="1" si="3"/>
        <v>abril</v>
      </c>
      <c r="E21" s="2" t="str">
        <f t="shared" ca="1" si="4"/>
        <v>2025/04</v>
      </c>
      <c r="F21" s="14" t="str">
        <f t="shared" ca="1" si="5"/>
        <v>CLI-6008</v>
      </c>
      <c r="G21" s="2" t="str">
        <f t="shared" ca="1" si="6"/>
        <v>João</v>
      </c>
      <c r="H21" s="2" t="str">
        <f t="shared" ca="1" si="7"/>
        <v>Recorrente</v>
      </c>
      <c r="I21" s="2" t="str">
        <f t="shared" ca="1" si="8"/>
        <v>Camila</v>
      </c>
      <c r="J21" s="14" t="str">
        <f t="shared" ca="1" si="9"/>
        <v>VCL-8887</v>
      </c>
      <c r="K21" s="2" t="str">
        <f t="shared" ca="1" si="10"/>
        <v>Compass</v>
      </c>
      <c r="L21" s="2" t="str">
        <f t="shared" ca="1" si="11"/>
        <v>Jeep</v>
      </c>
      <c r="M21" s="2" t="str">
        <f t="shared" ca="1" si="12"/>
        <v>SUV</v>
      </c>
      <c r="N21" s="2">
        <f t="shared" ca="1" si="13"/>
        <v>2023</v>
      </c>
      <c r="O21" s="2" t="str">
        <f t="shared" ca="1" si="14"/>
        <v>Online</v>
      </c>
      <c r="P21" s="2" t="str">
        <f t="shared" ca="1" si="15"/>
        <v>Centro-Oeste</v>
      </c>
      <c r="Q21" s="2" t="str">
        <f t="shared" ca="1" si="16"/>
        <v>MT</v>
      </c>
      <c r="R21" s="2" t="str">
        <f t="shared" ca="1" si="17"/>
        <v>Várzea Grande</v>
      </c>
      <c r="S21" s="8">
        <f t="shared" ca="1" si="18"/>
        <v>3</v>
      </c>
      <c r="T21" s="10">
        <f t="shared" ca="1" si="19"/>
        <v>90685</v>
      </c>
      <c r="U21" s="10">
        <f t="shared" ca="1" si="20"/>
        <v>73454.850000000006</v>
      </c>
      <c r="V21" s="10">
        <f t="shared" ca="1" si="21"/>
        <v>272055</v>
      </c>
      <c r="W21" s="10">
        <f t="shared" ca="1" si="22"/>
        <v>220364.55000000002</v>
      </c>
      <c r="X21" s="10">
        <f t="shared" ca="1" si="23"/>
        <v>51690.449999999983</v>
      </c>
      <c r="Y21" s="12">
        <f t="shared" ca="1" si="24"/>
        <v>0.18999999999999995</v>
      </c>
      <c r="Z21" s="2" t="str">
        <f t="shared" ca="1" si="25"/>
        <v>Cancelada</v>
      </c>
      <c r="AA21" s="8">
        <f t="shared" ca="1" si="26"/>
        <v>23</v>
      </c>
      <c r="AB21" s="2">
        <f t="shared" ca="1" si="27"/>
        <v>7</v>
      </c>
      <c r="AC21" s="2">
        <f t="shared" ca="1" si="28"/>
        <v>7</v>
      </c>
    </row>
    <row r="22" spans="1:29" x14ac:dyDescent="0.25">
      <c r="A22" s="14" t="str">
        <f t="shared" si="0"/>
        <v>VND-00022</v>
      </c>
      <c r="B22" s="5">
        <f t="shared" ca="1" si="1"/>
        <v>45498</v>
      </c>
      <c r="C22" s="2">
        <f t="shared" ca="1" si="2"/>
        <v>2024</v>
      </c>
      <c r="D22" s="2" t="str">
        <f t="shared" ca="1" si="3"/>
        <v>julho</v>
      </c>
      <c r="E22" s="2" t="str">
        <f t="shared" ca="1" si="4"/>
        <v>2024/07</v>
      </c>
      <c r="F22" s="14" t="str">
        <f t="shared" ca="1" si="5"/>
        <v>CLI-3632</v>
      </c>
      <c r="G22" s="2" t="str">
        <f t="shared" ca="1" si="6"/>
        <v>Fernanda</v>
      </c>
      <c r="H22" s="2" t="str">
        <f t="shared" ca="1" si="7"/>
        <v>Novo</v>
      </c>
      <c r="I22" s="2" t="str">
        <f t="shared" ca="1" si="8"/>
        <v>Eduardo</v>
      </c>
      <c r="J22" s="14" t="str">
        <f t="shared" ca="1" si="9"/>
        <v>VCL-6605</v>
      </c>
      <c r="K22" s="2" t="str">
        <f t="shared" ca="1" si="10"/>
        <v>HB20</v>
      </c>
      <c r="L22" s="2" t="str">
        <f t="shared" ca="1" si="11"/>
        <v>Hyundai</v>
      </c>
      <c r="M22" s="2" t="str">
        <f t="shared" ca="1" si="12"/>
        <v>Popular</v>
      </c>
      <c r="N22" s="2">
        <f t="shared" ca="1" si="13"/>
        <v>2020</v>
      </c>
      <c r="O22" s="2" t="str">
        <f t="shared" ca="1" si="14"/>
        <v>Loja</v>
      </c>
      <c r="P22" s="2" t="str">
        <f t="shared" ca="1" si="15"/>
        <v>Centro-Oeste</v>
      </c>
      <c r="Q22" s="2" t="str">
        <f t="shared" ca="1" si="16"/>
        <v>MT</v>
      </c>
      <c r="R22" s="2" t="str">
        <f t="shared" ca="1" si="17"/>
        <v>Tangará da Serra</v>
      </c>
      <c r="S22" s="8">
        <f t="shared" ca="1" si="18"/>
        <v>10</v>
      </c>
      <c r="T22" s="10">
        <f t="shared" ca="1" si="19"/>
        <v>101874</v>
      </c>
      <c r="U22" s="10">
        <f t="shared" ca="1" si="20"/>
        <v>77424.240000000005</v>
      </c>
      <c r="V22" s="10">
        <f t="shared" ca="1" si="21"/>
        <v>1018740</v>
      </c>
      <c r="W22" s="10">
        <f t="shared" ca="1" si="22"/>
        <v>774242.4</v>
      </c>
      <c r="X22" s="10">
        <f t="shared" ca="1" si="23"/>
        <v>244497.59999999998</v>
      </c>
      <c r="Y22" s="12">
        <f t="shared" ca="1" si="24"/>
        <v>0.23999999999999996</v>
      </c>
      <c r="Z22" s="2" t="str">
        <f t="shared" ca="1" si="25"/>
        <v>Cancelada</v>
      </c>
      <c r="AA22" s="8">
        <f t="shared" ca="1" si="26"/>
        <v>2</v>
      </c>
      <c r="AB22" s="2">
        <f t="shared" ca="1" si="27"/>
        <v>10</v>
      </c>
      <c r="AC22" s="2">
        <f t="shared" ca="1" si="28"/>
        <v>10</v>
      </c>
    </row>
    <row r="23" spans="1:29" x14ac:dyDescent="0.25">
      <c r="A23" s="14" t="str">
        <f t="shared" si="0"/>
        <v>VND-00023</v>
      </c>
      <c r="B23" s="5">
        <f t="shared" ca="1" si="1"/>
        <v>46001</v>
      </c>
      <c r="C23" s="2">
        <f t="shared" ca="1" si="2"/>
        <v>2025</v>
      </c>
      <c r="D23" s="2" t="str">
        <f t="shared" ca="1" si="3"/>
        <v>dezembro</v>
      </c>
      <c r="E23" s="2" t="str">
        <f t="shared" ca="1" si="4"/>
        <v>2025/12</v>
      </c>
      <c r="F23" s="14" t="str">
        <f t="shared" ca="1" si="5"/>
        <v>CLI-3970</v>
      </c>
      <c r="G23" s="2" t="str">
        <f t="shared" ca="1" si="6"/>
        <v>João</v>
      </c>
      <c r="H23" s="2" t="str">
        <f t="shared" ca="1" si="7"/>
        <v>Novo</v>
      </c>
      <c r="I23" s="2" t="str">
        <f t="shared" ca="1" si="8"/>
        <v>Carlos</v>
      </c>
      <c r="J23" s="14" t="str">
        <f t="shared" ca="1" si="9"/>
        <v>VCL-8972</v>
      </c>
      <c r="K23" s="2" t="str">
        <f t="shared" ca="1" si="10"/>
        <v>Compass</v>
      </c>
      <c r="L23" s="2" t="str">
        <f t="shared" ca="1" si="11"/>
        <v>Jeep</v>
      </c>
      <c r="M23" s="2" t="str">
        <f t="shared" ca="1" si="12"/>
        <v>SUV</v>
      </c>
      <c r="N23" s="2">
        <f t="shared" ca="1" si="13"/>
        <v>2020</v>
      </c>
      <c r="O23" s="2" t="str">
        <f t="shared" ca="1" si="14"/>
        <v>Loja</v>
      </c>
      <c r="P23" s="2" t="str">
        <f t="shared" ca="1" si="15"/>
        <v>Norte</v>
      </c>
      <c r="Q23" s="2" t="str">
        <f t="shared" ca="1" si="16"/>
        <v>PA</v>
      </c>
      <c r="R23" s="2" t="str">
        <f t="shared" ca="1" si="17"/>
        <v>Santarém</v>
      </c>
      <c r="S23" s="8">
        <f t="shared" ca="1" si="18"/>
        <v>10</v>
      </c>
      <c r="T23" s="10">
        <f t="shared" ca="1" si="19"/>
        <v>92805</v>
      </c>
      <c r="U23" s="10">
        <f t="shared" ca="1" si="20"/>
        <v>77956.2</v>
      </c>
      <c r="V23" s="10">
        <f t="shared" ca="1" si="21"/>
        <v>928050</v>
      </c>
      <c r="W23" s="10">
        <f t="shared" ca="1" si="22"/>
        <v>779562</v>
      </c>
      <c r="X23" s="10">
        <f t="shared" ca="1" si="23"/>
        <v>148488</v>
      </c>
      <c r="Y23" s="12">
        <f t="shared" ca="1" si="24"/>
        <v>0.16</v>
      </c>
      <c r="Z23" s="2" t="str">
        <f t="shared" ca="1" si="25"/>
        <v>Concluída</v>
      </c>
      <c r="AA23" s="8">
        <f t="shared" ca="1" si="26"/>
        <v>26</v>
      </c>
      <c r="AB23" s="2">
        <f t="shared" ca="1" si="27"/>
        <v>17</v>
      </c>
      <c r="AC23" s="2">
        <f t="shared" ca="1" si="28"/>
        <v>7</v>
      </c>
    </row>
    <row r="24" spans="1:29" x14ac:dyDescent="0.25">
      <c r="A24" s="14" t="str">
        <f t="shared" si="0"/>
        <v>VND-00024</v>
      </c>
      <c r="B24" s="5">
        <f t="shared" ca="1" si="1"/>
        <v>45712</v>
      </c>
      <c r="C24" s="2">
        <f t="shared" ca="1" si="2"/>
        <v>2025</v>
      </c>
      <c r="D24" s="2" t="str">
        <f t="shared" ca="1" si="3"/>
        <v>fevereiro</v>
      </c>
      <c r="E24" s="2" t="str">
        <f t="shared" ca="1" si="4"/>
        <v>2025/02</v>
      </c>
      <c r="F24" s="14" t="str">
        <f t="shared" ca="1" si="5"/>
        <v>CLI-2864</v>
      </c>
      <c r="G24" s="2" t="str">
        <f t="shared" ca="1" si="6"/>
        <v>Juliana</v>
      </c>
      <c r="H24" s="2" t="str">
        <f t="shared" ca="1" si="7"/>
        <v>Novo</v>
      </c>
      <c r="I24" s="2" t="str">
        <f t="shared" ca="1" si="8"/>
        <v>Camila</v>
      </c>
      <c r="J24" s="14" t="str">
        <f t="shared" ca="1" si="9"/>
        <v>VCL-7825</v>
      </c>
      <c r="K24" s="2" t="str">
        <f t="shared" ca="1" si="10"/>
        <v>Corolla</v>
      </c>
      <c r="L24" s="2" t="str">
        <f t="shared" ca="1" si="11"/>
        <v>Toyota</v>
      </c>
      <c r="M24" s="2" t="str">
        <f t="shared" ca="1" si="12"/>
        <v>SUV</v>
      </c>
      <c r="N24" s="2">
        <f t="shared" ca="1" si="13"/>
        <v>2022</v>
      </c>
      <c r="O24" s="2" t="str">
        <f t="shared" ca="1" si="14"/>
        <v>Loja</v>
      </c>
      <c r="P24" s="2" t="str">
        <f t="shared" ca="1" si="15"/>
        <v>Centro-Oeste</v>
      </c>
      <c r="Q24" s="2" t="str">
        <f t="shared" ca="1" si="16"/>
        <v>DF</v>
      </c>
      <c r="R24" s="2" t="str">
        <f t="shared" ca="1" si="17"/>
        <v>Brasília</v>
      </c>
      <c r="S24" s="8">
        <f t="shared" ca="1" si="18"/>
        <v>5</v>
      </c>
      <c r="T24" s="10">
        <f t="shared" ca="1" si="19"/>
        <v>214201</v>
      </c>
      <c r="U24" s="10">
        <f t="shared" ca="1" si="20"/>
        <v>164934.76999999999</v>
      </c>
      <c r="V24" s="10">
        <f t="shared" ca="1" si="21"/>
        <v>1071005</v>
      </c>
      <c r="W24" s="10">
        <f t="shared" ca="1" si="22"/>
        <v>824673.85</v>
      </c>
      <c r="X24" s="10">
        <f t="shared" ca="1" si="23"/>
        <v>246331.15000000002</v>
      </c>
      <c r="Y24" s="12">
        <f t="shared" ca="1" si="24"/>
        <v>0.23</v>
      </c>
      <c r="Z24" s="2" t="str">
        <f t="shared" ca="1" si="25"/>
        <v>Em negociação</v>
      </c>
      <c r="AA24" s="8">
        <f t="shared" ca="1" si="26"/>
        <v>9</v>
      </c>
      <c r="AB24" s="2">
        <f t="shared" ca="1" si="27"/>
        <v>20</v>
      </c>
      <c r="AC24" s="2">
        <f t="shared" ca="1" si="28"/>
        <v>7</v>
      </c>
    </row>
    <row r="25" spans="1:29" x14ac:dyDescent="0.25">
      <c r="A25" s="14" t="str">
        <f t="shared" si="0"/>
        <v>VND-00025</v>
      </c>
      <c r="B25" s="5">
        <f t="shared" ca="1" si="1"/>
        <v>45486</v>
      </c>
      <c r="C25" s="2">
        <f t="shared" ca="1" si="2"/>
        <v>2024</v>
      </c>
      <c r="D25" s="2" t="str">
        <f t="shared" ca="1" si="3"/>
        <v>julho</v>
      </c>
      <c r="E25" s="2" t="str">
        <f t="shared" ca="1" si="4"/>
        <v>2024/07</v>
      </c>
      <c r="F25" s="14" t="str">
        <f t="shared" ca="1" si="5"/>
        <v>CLI-2836</v>
      </c>
      <c r="G25" s="2" t="str">
        <f t="shared" ca="1" si="6"/>
        <v>Ana</v>
      </c>
      <c r="H25" s="2" t="str">
        <f t="shared" ca="1" si="7"/>
        <v>Novo</v>
      </c>
      <c r="I25" s="2" t="str">
        <f t="shared" ca="1" si="8"/>
        <v>Patricia</v>
      </c>
      <c r="J25" s="14" t="str">
        <f t="shared" ca="1" si="9"/>
        <v>VCL-8937</v>
      </c>
      <c r="K25" s="2" t="str">
        <f t="shared" ca="1" si="10"/>
        <v>HB20</v>
      </c>
      <c r="L25" s="2" t="str">
        <f t="shared" ca="1" si="11"/>
        <v>Hyundai</v>
      </c>
      <c r="M25" s="2" t="str">
        <f t="shared" ca="1" si="12"/>
        <v>Popular</v>
      </c>
      <c r="N25" s="2">
        <f t="shared" ca="1" si="13"/>
        <v>2020</v>
      </c>
      <c r="O25" s="2" t="str">
        <f t="shared" ca="1" si="14"/>
        <v>Online</v>
      </c>
      <c r="P25" s="2" t="str">
        <f t="shared" ca="1" si="15"/>
        <v>Nordeste</v>
      </c>
      <c r="Q25" s="2" t="str">
        <f t="shared" ca="1" si="16"/>
        <v>PE</v>
      </c>
      <c r="R25" s="2" t="str">
        <f t="shared" ca="1" si="17"/>
        <v>Olinda</v>
      </c>
      <c r="S25" s="8">
        <f t="shared" ca="1" si="18"/>
        <v>9</v>
      </c>
      <c r="T25" s="10">
        <f t="shared" ca="1" si="19"/>
        <v>175328</v>
      </c>
      <c r="U25" s="10">
        <f t="shared" ca="1" si="20"/>
        <v>135002.56</v>
      </c>
      <c r="V25" s="10">
        <f t="shared" ca="1" si="21"/>
        <v>1577952</v>
      </c>
      <c r="W25" s="10">
        <f t="shared" ca="1" si="22"/>
        <v>1215023.04</v>
      </c>
      <c r="X25" s="10">
        <f t="shared" ca="1" si="23"/>
        <v>362928.95999999996</v>
      </c>
      <c r="Y25" s="12">
        <f t="shared" ca="1" si="24"/>
        <v>0.22999999999999998</v>
      </c>
      <c r="Z25" s="2" t="str">
        <f t="shared" ca="1" si="25"/>
        <v>Cancelada</v>
      </c>
      <c r="AA25" s="8">
        <f t="shared" ca="1" si="26"/>
        <v>26</v>
      </c>
      <c r="AB25" s="2">
        <f t="shared" ca="1" si="27"/>
        <v>13</v>
      </c>
      <c r="AC25" s="2">
        <f t="shared" ca="1" si="28"/>
        <v>10</v>
      </c>
    </row>
    <row r="26" spans="1:29" x14ac:dyDescent="0.25">
      <c r="A26" s="14" t="str">
        <f t="shared" si="0"/>
        <v>VND-00026</v>
      </c>
      <c r="B26" s="5">
        <f t="shared" ca="1" si="1"/>
        <v>45270</v>
      </c>
      <c r="C26" s="2">
        <f t="shared" ca="1" si="2"/>
        <v>2023</v>
      </c>
      <c r="D26" s="2" t="str">
        <f t="shared" ca="1" si="3"/>
        <v>dezembro</v>
      </c>
      <c r="E26" s="2" t="str">
        <f t="shared" ca="1" si="4"/>
        <v>2023/12</v>
      </c>
      <c r="F26" s="14" t="str">
        <f t="shared" ca="1" si="5"/>
        <v>CLI-5441</v>
      </c>
      <c r="G26" s="2" t="str">
        <f t="shared" ca="1" si="6"/>
        <v>Rafael</v>
      </c>
      <c r="H26" s="2" t="str">
        <f t="shared" ca="1" si="7"/>
        <v>Novo</v>
      </c>
      <c r="I26" s="2" t="str">
        <f t="shared" ca="1" si="8"/>
        <v>Maria</v>
      </c>
      <c r="J26" s="14" t="str">
        <f t="shared" ca="1" si="9"/>
        <v>VCL-6633</v>
      </c>
      <c r="K26" s="2" t="str">
        <f t="shared" ca="1" si="10"/>
        <v>Corolla</v>
      </c>
      <c r="L26" s="2" t="str">
        <f t="shared" ca="1" si="11"/>
        <v>Toyota</v>
      </c>
      <c r="M26" s="2" t="str">
        <f t="shared" ca="1" si="12"/>
        <v>SUV</v>
      </c>
      <c r="N26" s="2">
        <f t="shared" ca="1" si="13"/>
        <v>2021</v>
      </c>
      <c r="O26" s="2" t="str">
        <f t="shared" ca="1" si="14"/>
        <v>Loja</v>
      </c>
      <c r="P26" s="2" t="str">
        <f t="shared" ca="1" si="15"/>
        <v>Sudeste</v>
      </c>
      <c r="Q26" s="2" t="str">
        <f t="shared" ca="1" si="16"/>
        <v>SP</v>
      </c>
      <c r="R26" s="2" t="str">
        <f t="shared" ca="1" si="17"/>
        <v>Ribeirão Preto</v>
      </c>
      <c r="S26" s="8">
        <f t="shared" ca="1" si="18"/>
        <v>7</v>
      </c>
      <c r="T26" s="10">
        <f t="shared" ca="1" si="19"/>
        <v>92078</v>
      </c>
      <c r="U26" s="10">
        <f t="shared" ca="1" si="20"/>
        <v>72741.62000000001</v>
      </c>
      <c r="V26" s="10">
        <f t="shared" ca="1" si="21"/>
        <v>644546</v>
      </c>
      <c r="W26" s="10">
        <f t="shared" ca="1" si="22"/>
        <v>509191.34000000008</v>
      </c>
      <c r="X26" s="10">
        <f t="shared" ca="1" si="23"/>
        <v>135354.65999999992</v>
      </c>
      <c r="Y26" s="12">
        <f t="shared" ca="1" si="24"/>
        <v>0.20999999999999988</v>
      </c>
      <c r="Z26" s="2" t="str">
        <f t="shared" ca="1" si="25"/>
        <v>Concluída</v>
      </c>
      <c r="AA26" s="8">
        <f t="shared" ca="1" si="26"/>
        <v>27</v>
      </c>
      <c r="AB26" s="2">
        <f t="shared" ca="1" si="27"/>
        <v>11</v>
      </c>
      <c r="AC26" s="2">
        <f t="shared" ca="1" si="28"/>
        <v>7</v>
      </c>
    </row>
    <row r="27" spans="1:29" x14ac:dyDescent="0.25">
      <c r="A27" s="14" t="str">
        <f t="shared" si="0"/>
        <v>VND-00027</v>
      </c>
      <c r="B27" s="5">
        <f t="shared" ca="1" si="1"/>
        <v>45848</v>
      </c>
      <c r="C27" s="2">
        <f t="shared" ca="1" si="2"/>
        <v>2025</v>
      </c>
      <c r="D27" s="2" t="str">
        <f t="shared" ca="1" si="3"/>
        <v>julho</v>
      </c>
      <c r="E27" s="2" t="str">
        <f t="shared" ca="1" si="4"/>
        <v>2025/07</v>
      </c>
      <c r="F27" s="14" t="str">
        <f t="shared" ca="1" si="5"/>
        <v>CLI-4494</v>
      </c>
      <c r="G27" s="2" t="str">
        <f t="shared" ca="1" si="6"/>
        <v>Maria</v>
      </c>
      <c r="H27" s="2" t="str">
        <f t="shared" ca="1" si="7"/>
        <v>Novo</v>
      </c>
      <c r="I27" s="2" t="str">
        <f t="shared" ca="1" si="8"/>
        <v>Felipe</v>
      </c>
      <c r="J27" s="14" t="str">
        <f t="shared" ca="1" si="9"/>
        <v>VCL-3398</v>
      </c>
      <c r="K27" s="2" t="str">
        <f t="shared" ca="1" si="10"/>
        <v>Compass</v>
      </c>
      <c r="L27" s="2" t="str">
        <f t="shared" ca="1" si="11"/>
        <v>Jeep</v>
      </c>
      <c r="M27" s="2" t="str">
        <f t="shared" ca="1" si="12"/>
        <v>SUV</v>
      </c>
      <c r="N27" s="2">
        <f t="shared" ca="1" si="13"/>
        <v>2023</v>
      </c>
      <c r="O27" s="2" t="str">
        <f t="shared" ca="1" si="14"/>
        <v>Loja</v>
      </c>
      <c r="P27" s="2" t="str">
        <f t="shared" ca="1" si="15"/>
        <v>Norte</v>
      </c>
      <c r="Q27" s="2" t="str">
        <f t="shared" ca="1" si="16"/>
        <v>PA</v>
      </c>
      <c r="R27" s="2" t="str">
        <f t="shared" ca="1" si="17"/>
        <v>Ananindeua</v>
      </c>
      <c r="S27" s="8">
        <f t="shared" ca="1" si="18"/>
        <v>8</v>
      </c>
      <c r="T27" s="10">
        <f t="shared" ca="1" si="19"/>
        <v>197469</v>
      </c>
      <c r="U27" s="10">
        <f t="shared" ca="1" si="20"/>
        <v>138228.29999999999</v>
      </c>
      <c r="V27" s="10">
        <f t="shared" ca="1" si="21"/>
        <v>1579752</v>
      </c>
      <c r="W27" s="10">
        <f t="shared" ca="1" si="22"/>
        <v>1105826.3999999999</v>
      </c>
      <c r="X27" s="10">
        <f t="shared" ca="1" si="23"/>
        <v>473925.60000000009</v>
      </c>
      <c r="Y27" s="12">
        <f t="shared" ca="1" si="24"/>
        <v>0.30000000000000004</v>
      </c>
      <c r="Z27" s="2" t="str">
        <f t="shared" ca="1" si="25"/>
        <v>Concluída</v>
      </c>
      <c r="AA27" s="8">
        <f t="shared" ca="1" si="26"/>
        <v>24</v>
      </c>
      <c r="AB27" s="2">
        <f t="shared" ca="1" si="27"/>
        <v>6</v>
      </c>
      <c r="AC27" s="2">
        <f t="shared" ca="1" si="28"/>
        <v>7</v>
      </c>
    </row>
    <row r="28" spans="1:29" x14ac:dyDescent="0.25">
      <c r="A28" s="14" t="str">
        <f t="shared" si="0"/>
        <v>VND-00028</v>
      </c>
      <c r="B28" s="5">
        <f t="shared" ca="1" si="1"/>
        <v>45792</v>
      </c>
      <c r="C28" s="2">
        <f t="shared" ca="1" si="2"/>
        <v>2025</v>
      </c>
      <c r="D28" s="2" t="str">
        <f t="shared" ca="1" si="3"/>
        <v>maio</v>
      </c>
      <c r="E28" s="2" t="str">
        <f t="shared" ca="1" si="4"/>
        <v>2025/05</v>
      </c>
      <c r="F28" s="14" t="str">
        <f t="shared" ca="1" si="5"/>
        <v>CLI-9233</v>
      </c>
      <c r="G28" s="2" t="str">
        <f t="shared" ca="1" si="6"/>
        <v>Fernanda</v>
      </c>
      <c r="H28" s="2" t="str">
        <f t="shared" ca="1" si="7"/>
        <v>Recorrente</v>
      </c>
      <c r="I28" s="2" t="str">
        <f t="shared" ca="1" si="8"/>
        <v>Rafael</v>
      </c>
      <c r="J28" s="14" t="str">
        <f t="shared" ca="1" si="9"/>
        <v>VCL-6658</v>
      </c>
      <c r="K28" s="2" t="str">
        <f t="shared" ca="1" si="10"/>
        <v>Corolla</v>
      </c>
      <c r="L28" s="2" t="str">
        <f t="shared" ca="1" si="11"/>
        <v>Toyota</v>
      </c>
      <c r="M28" s="2" t="str">
        <f t="shared" ca="1" si="12"/>
        <v>SUV</v>
      </c>
      <c r="N28" s="2">
        <f t="shared" ca="1" si="13"/>
        <v>2015</v>
      </c>
      <c r="O28" s="2" t="str">
        <f t="shared" ca="1" si="14"/>
        <v>Loja</v>
      </c>
      <c r="P28" s="2" t="str">
        <f t="shared" ca="1" si="15"/>
        <v>Sul</v>
      </c>
      <c r="Q28" s="2" t="str">
        <f t="shared" ca="1" si="16"/>
        <v>PR</v>
      </c>
      <c r="R28" s="2" t="str">
        <f t="shared" ca="1" si="17"/>
        <v>Ponta Grossa</v>
      </c>
      <c r="S28" s="8">
        <f t="shared" ca="1" si="18"/>
        <v>3</v>
      </c>
      <c r="T28" s="10">
        <f t="shared" ca="1" si="19"/>
        <v>172095</v>
      </c>
      <c r="U28" s="10">
        <f t="shared" ca="1" si="20"/>
        <v>129071.25</v>
      </c>
      <c r="V28" s="10">
        <f t="shared" ca="1" si="21"/>
        <v>516285</v>
      </c>
      <c r="W28" s="10">
        <f t="shared" ca="1" si="22"/>
        <v>387213.75</v>
      </c>
      <c r="X28" s="10">
        <f t="shared" ca="1" si="23"/>
        <v>129071.25</v>
      </c>
      <c r="Y28" s="12">
        <f t="shared" ca="1" si="24"/>
        <v>0.25</v>
      </c>
      <c r="Z28" s="2" t="str">
        <f t="shared" ca="1" si="25"/>
        <v>Cancelada</v>
      </c>
      <c r="AA28" s="8">
        <f t="shared" ca="1" si="26"/>
        <v>1</v>
      </c>
      <c r="AB28" s="2">
        <f t="shared" ca="1" si="27"/>
        <v>19</v>
      </c>
      <c r="AC28" s="2">
        <f t="shared" ca="1" si="28"/>
        <v>7</v>
      </c>
    </row>
    <row r="29" spans="1:29" x14ac:dyDescent="0.25">
      <c r="A29" s="14" t="str">
        <f t="shared" si="0"/>
        <v>VND-00029</v>
      </c>
      <c r="B29" s="5">
        <f t="shared" ca="1" si="1"/>
        <v>45463</v>
      </c>
      <c r="C29" s="2">
        <f t="shared" ca="1" si="2"/>
        <v>2024</v>
      </c>
      <c r="D29" s="2" t="str">
        <f t="shared" ca="1" si="3"/>
        <v>junho</v>
      </c>
      <c r="E29" s="2" t="str">
        <f t="shared" ca="1" si="4"/>
        <v>2024/06</v>
      </c>
      <c r="F29" s="14" t="str">
        <f t="shared" ca="1" si="5"/>
        <v>CLI-2926</v>
      </c>
      <c r="G29" s="2" t="str">
        <f t="shared" ca="1" si="6"/>
        <v>Carlos</v>
      </c>
      <c r="H29" s="2" t="str">
        <f t="shared" ca="1" si="7"/>
        <v>Recorrente</v>
      </c>
      <c r="I29" s="2" t="str">
        <f t="shared" ca="1" si="8"/>
        <v>Juliana</v>
      </c>
      <c r="J29" s="14" t="str">
        <f t="shared" ca="1" si="9"/>
        <v>VCL-6959</v>
      </c>
      <c r="K29" s="2" t="str">
        <f t="shared" ca="1" si="10"/>
        <v>HB20</v>
      </c>
      <c r="L29" s="2" t="str">
        <f t="shared" ca="1" si="11"/>
        <v>Hyundai</v>
      </c>
      <c r="M29" s="2" t="str">
        <f t="shared" ca="1" si="12"/>
        <v>Popular</v>
      </c>
      <c r="N29" s="2">
        <f t="shared" ca="1" si="13"/>
        <v>2022</v>
      </c>
      <c r="O29" s="2" t="str">
        <f t="shared" ca="1" si="14"/>
        <v>Loja</v>
      </c>
      <c r="P29" s="2" t="str">
        <f t="shared" ca="1" si="15"/>
        <v>Sul</v>
      </c>
      <c r="Q29" s="2" t="str">
        <f t="shared" ca="1" si="16"/>
        <v>PR</v>
      </c>
      <c r="R29" s="2" t="str">
        <f t="shared" ca="1" si="17"/>
        <v>Cascavel</v>
      </c>
      <c r="S29" s="8">
        <f t="shared" ca="1" si="18"/>
        <v>8</v>
      </c>
      <c r="T29" s="10">
        <f t="shared" ca="1" si="19"/>
        <v>149106</v>
      </c>
      <c r="U29" s="10">
        <f t="shared" ca="1" si="20"/>
        <v>105865.26</v>
      </c>
      <c r="V29" s="10">
        <f t="shared" ca="1" si="21"/>
        <v>1192848</v>
      </c>
      <c r="W29" s="10">
        <f t="shared" ca="1" si="22"/>
        <v>846922.08</v>
      </c>
      <c r="X29" s="10">
        <f t="shared" ca="1" si="23"/>
        <v>345925.92000000004</v>
      </c>
      <c r="Y29" s="12">
        <f t="shared" ca="1" si="24"/>
        <v>0.29000000000000004</v>
      </c>
      <c r="Z29" s="2" t="str">
        <f t="shared" ca="1" si="25"/>
        <v>Cancelada</v>
      </c>
      <c r="AA29" s="8">
        <f t="shared" ca="1" si="26"/>
        <v>20</v>
      </c>
      <c r="AB29" s="2">
        <f t="shared" ca="1" si="27"/>
        <v>12</v>
      </c>
      <c r="AC29" s="2">
        <f t="shared" ca="1" si="28"/>
        <v>10</v>
      </c>
    </row>
    <row r="30" spans="1:29" x14ac:dyDescent="0.25">
      <c r="A30" s="14" t="str">
        <f t="shared" si="0"/>
        <v>VND-00030</v>
      </c>
      <c r="B30" s="5">
        <f t="shared" ca="1" si="1"/>
        <v>45527</v>
      </c>
      <c r="C30" s="2">
        <f t="shared" ca="1" si="2"/>
        <v>2024</v>
      </c>
      <c r="D30" s="2" t="str">
        <f t="shared" ca="1" si="3"/>
        <v>agosto</v>
      </c>
      <c r="E30" s="2" t="str">
        <f t="shared" ca="1" si="4"/>
        <v>2024/08</v>
      </c>
      <c r="F30" s="14" t="str">
        <f t="shared" ca="1" si="5"/>
        <v>CLI-7140</v>
      </c>
      <c r="G30" s="2" t="str">
        <f t="shared" ca="1" si="6"/>
        <v>Fernanda</v>
      </c>
      <c r="H30" s="2" t="str">
        <f t="shared" ca="1" si="7"/>
        <v>Novo</v>
      </c>
      <c r="I30" s="2" t="str">
        <f t="shared" ca="1" si="8"/>
        <v>Lucas</v>
      </c>
      <c r="J30" s="14" t="str">
        <f t="shared" ca="1" si="9"/>
        <v>VCL-4614</v>
      </c>
      <c r="K30" s="2" t="str">
        <f t="shared" ca="1" si="10"/>
        <v>BMW X1</v>
      </c>
      <c r="L30" s="2" t="str">
        <f t="shared" ca="1" si="11"/>
        <v>BMW</v>
      </c>
      <c r="M30" s="2" t="str">
        <f t="shared" ca="1" si="12"/>
        <v>Luxo</v>
      </c>
      <c r="N30" s="2">
        <f t="shared" ca="1" si="13"/>
        <v>2023</v>
      </c>
      <c r="O30" s="2" t="str">
        <f t="shared" ca="1" si="14"/>
        <v>Loja</v>
      </c>
      <c r="P30" s="2" t="str">
        <f t="shared" ca="1" si="15"/>
        <v>Sudeste</v>
      </c>
      <c r="Q30" s="2" t="str">
        <f t="shared" ca="1" si="16"/>
        <v>RJ</v>
      </c>
      <c r="R30" s="2" t="str">
        <f t="shared" ca="1" si="17"/>
        <v>Niterói</v>
      </c>
      <c r="S30" s="8">
        <f t="shared" ca="1" si="18"/>
        <v>10</v>
      </c>
      <c r="T30" s="10">
        <f t="shared" ca="1" si="19"/>
        <v>207033</v>
      </c>
      <c r="U30" s="10">
        <f t="shared" ca="1" si="20"/>
        <v>175978.05</v>
      </c>
      <c r="V30" s="10">
        <f t="shared" ca="1" si="21"/>
        <v>2070330</v>
      </c>
      <c r="W30" s="10">
        <f t="shared" ca="1" si="22"/>
        <v>1759780.5</v>
      </c>
      <c r="X30" s="10">
        <f t="shared" ca="1" si="23"/>
        <v>310549.5</v>
      </c>
      <c r="Y30" s="12">
        <f t="shared" ca="1" si="24"/>
        <v>0.15</v>
      </c>
      <c r="Z30" s="2" t="str">
        <f t="shared" ca="1" si="25"/>
        <v>Concluída</v>
      </c>
      <c r="AA30" s="8">
        <f t="shared" ca="1" si="26"/>
        <v>28</v>
      </c>
      <c r="AB30" s="2">
        <f t="shared" ca="1" si="27"/>
        <v>3</v>
      </c>
      <c r="AC30" s="2">
        <f t="shared" ca="1" si="28"/>
        <v>3</v>
      </c>
    </row>
    <row r="31" spans="1:29" x14ac:dyDescent="0.25">
      <c r="A31" s="14" t="str">
        <f t="shared" si="0"/>
        <v>VND-00031</v>
      </c>
      <c r="B31" s="5">
        <f t="shared" ca="1" si="1"/>
        <v>45393</v>
      </c>
      <c r="C31" s="2">
        <f t="shared" ca="1" si="2"/>
        <v>2024</v>
      </c>
      <c r="D31" s="2" t="str">
        <f t="shared" ca="1" si="3"/>
        <v>abril</v>
      </c>
      <c r="E31" s="2" t="str">
        <f t="shared" ca="1" si="4"/>
        <v>2024/04</v>
      </c>
      <c r="F31" s="14" t="str">
        <f t="shared" ca="1" si="5"/>
        <v>CLI-1500</v>
      </c>
      <c r="G31" s="2" t="str">
        <f t="shared" ca="1" si="6"/>
        <v>Rafael</v>
      </c>
      <c r="H31" s="2" t="str">
        <f t="shared" ca="1" si="7"/>
        <v>Novo</v>
      </c>
      <c r="I31" s="2" t="str">
        <f t="shared" ca="1" si="8"/>
        <v>Rafael</v>
      </c>
      <c r="J31" s="14" t="str">
        <f t="shared" ca="1" si="9"/>
        <v>VCL-3567</v>
      </c>
      <c r="K31" s="2" t="str">
        <f t="shared" ca="1" si="10"/>
        <v>Corolla</v>
      </c>
      <c r="L31" s="2" t="str">
        <f t="shared" ca="1" si="11"/>
        <v>Toyota</v>
      </c>
      <c r="M31" s="2" t="str">
        <f t="shared" ca="1" si="12"/>
        <v>SUV</v>
      </c>
      <c r="N31" s="2">
        <f t="shared" ca="1" si="13"/>
        <v>2022</v>
      </c>
      <c r="O31" s="2" t="str">
        <f t="shared" ca="1" si="14"/>
        <v>Loja</v>
      </c>
      <c r="P31" s="2" t="str">
        <f t="shared" ca="1" si="15"/>
        <v>Sul</v>
      </c>
      <c r="Q31" s="2" t="str">
        <f t="shared" ca="1" si="16"/>
        <v>RS</v>
      </c>
      <c r="R31" s="2" t="str">
        <f t="shared" ca="1" si="17"/>
        <v>Pelotas</v>
      </c>
      <c r="S31" s="8">
        <f t="shared" ca="1" si="18"/>
        <v>7</v>
      </c>
      <c r="T31" s="10">
        <f t="shared" ca="1" si="19"/>
        <v>180487</v>
      </c>
      <c r="U31" s="10">
        <f t="shared" ca="1" si="20"/>
        <v>146194.47</v>
      </c>
      <c r="V31" s="10">
        <f t="shared" ca="1" si="21"/>
        <v>1263409</v>
      </c>
      <c r="W31" s="10">
        <f t="shared" ca="1" si="22"/>
        <v>1023361.29</v>
      </c>
      <c r="X31" s="10">
        <f t="shared" ca="1" si="23"/>
        <v>240047.70999999996</v>
      </c>
      <c r="Y31" s="12">
        <f t="shared" ca="1" si="24"/>
        <v>0.18999999999999997</v>
      </c>
      <c r="Z31" s="2" t="str">
        <f t="shared" ca="1" si="25"/>
        <v>Cancelada</v>
      </c>
      <c r="AA31" s="8">
        <f t="shared" ca="1" si="26"/>
        <v>13</v>
      </c>
      <c r="AB31" s="2">
        <f t="shared" ca="1" si="27"/>
        <v>8</v>
      </c>
      <c r="AC31" s="2">
        <f t="shared" ca="1" si="28"/>
        <v>7</v>
      </c>
    </row>
    <row r="32" spans="1:29" x14ac:dyDescent="0.25">
      <c r="A32" s="14" t="str">
        <f t="shared" si="0"/>
        <v>VND-00032</v>
      </c>
      <c r="B32" s="5">
        <f t="shared" ca="1" si="1"/>
        <v>45767</v>
      </c>
      <c r="C32" s="2">
        <f t="shared" ca="1" si="2"/>
        <v>2025</v>
      </c>
      <c r="D32" s="2" t="str">
        <f t="shared" ca="1" si="3"/>
        <v>abril</v>
      </c>
      <c r="E32" s="2" t="str">
        <f t="shared" ca="1" si="4"/>
        <v>2025/04</v>
      </c>
      <c r="F32" s="14" t="str">
        <f t="shared" ca="1" si="5"/>
        <v>CLI-7763</v>
      </c>
      <c r="G32" s="2" t="str">
        <f t="shared" ca="1" si="6"/>
        <v>Lucas</v>
      </c>
      <c r="H32" s="2" t="str">
        <f t="shared" ca="1" si="7"/>
        <v>Novo</v>
      </c>
      <c r="I32" s="2" t="str">
        <f t="shared" ca="1" si="8"/>
        <v>Amanda</v>
      </c>
      <c r="J32" s="14" t="str">
        <f t="shared" ca="1" si="9"/>
        <v>VCL-1131</v>
      </c>
      <c r="K32" s="2" t="str">
        <f t="shared" ca="1" si="10"/>
        <v>Corolla</v>
      </c>
      <c r="L32" s="2" t="str">
        <f t="shared" ca="1" si="11"/>
        <v>Toyota</v>
      </c>
      <c r="M32" s="2" t="str">
        <f t="shared" ca="1" si="12"/>
        <v>SUV</v>
      </c>
      <c r="N32" s="2">
        <f t="shared" ca="1" si="13"/>
        <v>2022</v>
      </c>
      <c r="O32" s="2" t="str">
        <f t="shared" ca="1" si="14"/>
        <v>Loja</v>
      </c>
      <c r="P32" s="2" t="str">
        <f t="shared" ca="1" si="15"/>
        <v>Norte</v>
      </c>
      <c r="Q32" s="2" t="str">
        <f t="shared" ca="1" si="16"/>
        <v>AM</v>
      </c>
      <c r="R32" s="2" t="str">
        <f t="shared" ca="1" si="17"/>
        <v>Manacapuru</v>
      </c>
      <c r="S32" s="8">
        <f t="shared" ca="1" si="18"/>
        <v>2</v>
      </c>
      <c r="T32" s="10">
        <f t="shared" ca="1" si="19"/>
        <v>130510</v>
      </c>
      <c r="U32" s="10">
        <f t="shared" ca="1" si="20"/>
        <v>91357</v>
      </c>
      <c r="V32" s="10">
        <f t="shared" ca="1" si="21"/>
        <v>261020</v>
      </c>
      <c r="W32" s="10">
        <f t="shared" ca="1" si="22"/>
        <v>182714</v>
      </c>
      <c r="X32" s="10">
        <f t="shared" ca="1" si="23"/>
        <v>78306</v>
      </c>
      <c r="Y32" s="12">
        <f t="shared" ca="1" si="24"/>
        <v>0.3</v>
      </c>
      <c r="Z32" s="2" t="str">
        <f t="shared" ca="1" si="25"/>
        <v>Cancelada</v>
      </c>
      <c r="AA32" s="8">
        <f t="shared" ca="1" si="26"/>
        <v>7</v>
      </c>
      <c r="AB32" s="2">
        <f t="shared" ca="1" si="27"/>
        <v>13</v>
      </c>
      <c r="AC32" s="2">
        <f t="shared" ca="1" si="28"/>
        <v>7</v>
      </c>
    </row>
    <row r="33" spans="1:29" x14ac:dyDescent="0.25">
      <c r="A33" s="14" t="str">
        <f t="shared" si="0"/>
        <v>VND-00033</v>
      </c>
      <c r="B33" s="5">
        <f t="shared" ca="1" si="1"/>
        <v>45953</v>
      </c>
      <c r="C33" s="2">
        <f t="shared" ca="1" si="2"/>
        <v>2025</v>
      </c>
      <c r="D33" s="2" t="str">
        <f t="shared" ca="1" si="3"/>
        <v>outubro</v>
      </c>
      <c r="E33" s="2" t="str">
        <f t="shared" ca="1" si="4"/>
        <v>2025/10</v>
      </c>
      <c r="F33" s="14" t="str">
        <f t="shared" ca="1" si="5"/>
        <v>CLI-6356</v>
      </c>
      <c r="G33" s="2" t="str">
        <f t="shared" ca="1" si="6"/>
        <v>Ana</v>
      </c>
      <c r="H33" s="2" t="str">
        <f t="shared" ca="1" si="7"/>
        <v>Novo</v>
      </c>
      <c r="I33" s="2" t="str">
        <f t="shared" ca="1" si="8"/>
        <v>Camila</v>
      </c>
      <c r="J33" s="14" t="str">
        <f t="shared" ca="1" si="9"/>
        <v>VCL-5768</v>
      </c>
      <c r="K33" s="2" t="str">
        <f t="shared" ca="1" si="10"/>
        <v>Civic</v>
      </c>
      <c r="L33" s="2" t="str">
        <f t="shared" ca="1" si="11"/>
        <v>Honda</v>
      </c>
      <c r="M33" s="2" t="str">
        <f t="shared" ca="1" si="12"/>
        <v>SUV</v>
      </c>
      <c r="N33" s="2">
        <f t="shared" ca="1" si="13"/>
        <v>2022</v>
      </c>
      <c r="O33" s="2" t="str">
        <f t="shared" ca="1" si="14"/>
        <v>Loja</v>
      </c>
      <c r="P33" s="2" t="str">
        <f t="shared" ca="1" si="15"/>
        <v>Centro-Oeste</v>
      </c>
      <c r="Q33" s="2" t="str">
        <f t="shared" ca="1" si="16"/>
        <v>DF</v>
      </c>
      <c r="R33" s="2" t="str">
        <f t="shared" ca="1" si="17"/>
        <v>Taguatinga</v>
      </c>
      <c r="S33" s="8">
        <f t="shared" ca="1" si="18"/>
        <v>9</v>
      </c>
      <c r="T33" s="10">
        <f t="shared" ca="1" si="19"/>
        <v>143550</v>
      </c>
      <c r="U33" s="10">
        <f t="shared" ca="1" si="20"/>
        <v>120582</v>
      </c>
      <c r="V33" s="10">
        <f t="shared" ca="1" si="21"/>
        <v>1291950</v>
      </c>
      <c r="W33" s="10">
        <f t="shared" ca="1" si="22"/>
        <v>1085238</v>
      </c>
      <c r="X33" s="10">
        <f t="shared" ca="1" si="23"/>
        <v>206712</v>
      </c>
      <c r="Y33" s="12">
        <f t="shared" ca="1" si="24"/>
        <v>0.16</v>
      </c>
      <c r="Z33" s="2" t="str">
        <f t="shared" ca="1" si="25"/>
        <v>Em negociação</v>
      </c>
      <c r="AA33" s="8">
        <f t="shared" ca="1" si="26"/>
        <v>2</v>
      </c>
      <c r="AB33" s="2">
        <f t="shared" ca="1" si="27"/>
        <v>14</v>
      </c>
      <c r="AC33" s="2">
        <f t="shared" ca="1" si="28"/>
        <v>7</v>
      </c>
    </row>
    <row r="34" spans="1:29" x14ac:dyDescent="0.25">
      <c r="A34" s="14" t="str">
        <f t="shared" si="0"/>
        <v>VND-00034</v>
      </c>
      <c r="B34" s="5">
        <f t="shared" ca="1" si="1"/>
        <v>45119</v>
      </c>
      <c r="C34" s="2">
        <f t="shared" ca="1" si="2"/>
        <v>2023</v>
      </c>
      <c r="D34" s="2" t="str">
        <f t="shared" ca="1" si="3"/>
        <v>julho</v>
      </c>
      <c r="E34" s="2" t="str">
        <f t="shared" ca="1" si="4"/>
        <v>2023/07</v>
      </c>
      <c r="F34" s="14" t="str">
        <f t="shared" ca="1" si="5"/>
        <v>CLI-3933</v>
      </c>
      <c r="G34" s="2" t="str">
        <f t="shared" ca="1" si="6"/>
        <v>Rafael</v>
      </c>
      <c r="H34" s="2" t="str">
        <f t="shared" ca="1" si="7"/>
        <v>Novo</v>
      </c>
      <c r="I34" s="2" t="str">
        <f t="shared" ca="1" si="8"/>
        <v>Eduardo</v>
      </c>
      <c r="J34" s="14" t="str">
        <f t="shared" ca="1" si="9"/>
        <v>VCL-5343</v>
      </c>
      <c r="K34" s="2" t="str">
        <f t="shared" ca="1" si="10"/>
        <v>Civic</v>
      </c>
      <c r="L34" s="2" t="str">
        <f t="shared" ca="1" si="11"/>
        <v>Honda</v>
      </c>
      <c r="M34" s="2" t="str">
        <f t="shared" ca="1" si="12"/>
        <v>SUV</v>
      </c>
      <c r="N34" s="2">
        <f t="shared" ca="1" si="13"/>
        <v>2022</v>
      </c>
      <c r="O34" s="2" t="str">
        <f t="shared" ca="1" si="14"/>
        <v>Loja</v>
      </c>
      <c r="P34" s="2" t="str">
        <f t="shared" ca="1" si="15"/>
        <v>Centro-Oeste</v>
      </c>
      <c r="Q34" s="2" t="str">
        <f t="shared" ca="1" si="16"/>
        <v>MT</v>
      </c>
      <c r="R34" s="2" t="str">
        <f t="shared" ca="1" si="17"/>
        <v>Rondonópolis</v>
      </c>
      <c r="S34" s="8">
        <f t="shared" ca="1" si="18"/>
        <v>9</v>
      </c>
      <c r="T34" s="10">
        <f t="shared" ca="1" si="19"/>
        <v>163152</v>
      </c>
      <c r="U34" s="10">
        <f t="shared" ca="1" si="20"/>
        <v>130521.60000000001</v>
      </c>
      <c r="V34" s="10">
        <f t="shared" ca="1" si="21"/>
        <v>1468368</v>
      </c>
      <c r="W34" s="10">
        <f t="shared" ca="1" si="22"/>
        <v>1174694.4000000001</v>
      </c>
      <c r="X34" s="10">
        <f t="shared" ca="1" si="23"/>
        <v>293673.59999999986</v>
      </c>
      <c r="Y34" s="12">
        <f t="shared" ca="1" si="24"/>
        <v>0.1999999999999999</v>
      </c>
      <c r="Z34" s="2" t="str">
        <f t="shared" ca="1" si="25"/>
        <v>Em negociação</v>
      </c>
      <c r="AA34" s="8">
        <f t="shared" ca="1" si="26"/>
        <v>4</v>
      </c>
      <c r="AB34" s="2">
        <f t="shared" ca="1" si="27"/>
        <v>10</v>
      </c>
      <c r="AC34" s="2">
        <f t="shared" ca="1" si="28"/>
        <v>7</v>
      </c>
    </row>
    <row r="35" spans="1:29" x14ac:dyDescent="0.25">
      <c r="A35" s="14" t="str">
        <f t="shared" si="0"/>
        <v>VND-00035</v>
      </c>
      <c r="B35" s="5">
        <f t="shared" ca="1" si="1"/>
        <v>45983</v>
      </c>
      <c r="C35" s="2">
        <f t="shared" ca="1" si="2"/>
        <v>2025</v>
      </c>
      <c r="D35" s="2" t="str">
        <f t="shared" ca="1" si="3"/>
        <v>novembro</v>
      </c>
      <c r="E35" s="2" t="str">
        <f t="shared" ca="1" si="4"/>
        <v>2025/11</v>
      </c>
      <c r="F35" s="14" t="str">
        <f t="shared" ca="1" si="5"/>
        <v>CLI-2969</v>
      </c>
      <c r="G35" s="2" t="str">
        <f t="shared" ca="1" si="6"/>
        <v>Juliana</v>
      </c>
      <c r="H35" s="2" t="str">
        <f t="shared" ca="1" si="7"/>
        <v>Novo</v>
      </c>
      <c r="I35" s="2" t="str">
        <f t="shared" ca="1" si="8"/>
        <v>Carla</v>
      </c>
      <c r="J35" s="14" t="str">
        <f t="shared" ca="1" si="9"/>
        <v>VCL-4251</v>
      </c>
      <c r="K35" s="2" t="str">
        <f t="shared" ca="1" si="10"/>
        <v>BMW X1</v>
      </c>
      <c r="L35" s="2" t="str">
        <f t="shared" ca="1" si="11"/>
        <v>BMW</v>
      </c>
      <c r="M35" s="2" t="str">
        <f t="shared" ca="1" si="12"/>
        <v>Luxo</v>
      </c>
      <c r="N35" s="2">
        <f t="shared" ca="1" si="13"/>
        <v>2018</v>
      </c>
      <c r="O35" s="2" t="str">
        <f t="shared" ca="1" si="14"/>
        <v>Online</v>
      </c>
      <c r="P35" s="2" t="str">
        <f t="shared" ca="1" si="15"/>
        <v>Sul</v>
      </c>
      <c r="Q35" s="2" t="str">
        <f t="shared" ca="1" si="16"/>
        <v>SC</v>
      </c>
      <c r="R35" s="2" t="str">
        <f t="shared" ca="1" si="17"/>
        <v>Florianópolis</v>
      </c>
      <c r="S35" s="8">
        <f t="shared" ca="1" si="18"/>
        <v>5</v>
      </c>
      <c r="T35" s="10">
        <f t="shared" ca="1" si="19"/>
        <v>194150</v>
      </c>
      <c r="U35" s="10">
        <f t="shared" ca="1" si="20"/>
        <v>151437</v>
      </c>
      <c r="V35" s="10">
        <f t="shared" ca="1" si="21"/>
        <v>970750</v>
      </c>
      <c r="W35" s="10">
        <f t="shared" ca="1" si="22"/>
        <v>757185</v>
      </c>
      <c r="X35" s="10">
        <f t="shared" ca="1" si="23"/>
        <v>213565</v>
      </c>
      <c r="Y35" s="12">
        <f t="shared" ca="1" si="24"/>
        <v>0.22</v>
      </c>
      <c r="Z35" s="2" t="str">
        <f t="shared" ca="1" si="25"/>
        <v>Em negociação</v>
      </c>
      <c r="AA35" s="8">
        <f t="shared" ca="1" si="26"/>
        <v>13</v>
      </c>
      <c r="AB35" s="2">
        <f t="shared" ca="1" si="27"/>
        <v>5</v>
      </c>
      <c r="AC35" s="2">
        <f t="shared" ca="1" si="28"/>
        <v>3</v>
      </c>
    </row>
    <row r="36" spans="1:29" x14ac:dyDescent="0.25">
      <c r="A36" s="14" t="str">
        <f t="shared" si="0"/>
        <v>VND-00036</v>
      </c>
      <c r="B36" s="5">
        <f t="shared" ca="1" si="1"/>
        <v>45662</v>
      </c>
      <c r="C36" s="2">
        <f t="shared" ca="1" si="2"/>
        <v>2025</v>
      </c>
      <c r="D36" s="2" t="str">
        <f t="shared" ca="1" si="3"/>
        <v>janeiro</v>
      </c>
      <c r="E36" s="2" t="str">
        <f t="shared" ca="1" si="4"/>
        <v>2025/01</v>
      </c>
      <c r="F36" s="14" t="str">
        <f t="shared" ca="1" si="5"/>
        <v>CLI-4218</v>
      </c>
      <c r="G36" s="2" t="str">
        <f t="shared" ca="1" si="6"/>
        <v>Lucas</v>
      </c>
      <c r="H36" s="2" t="str">
        <f t="shared" ca="1" si="7"/>
        <v>Novo</v>
      </c>
      <c r="I36" s="2" t="str">
        <f t="shared" ca="1" si="8"/>
        <v>Vinicius</v>
      </c>
      <c r="J36" s="14" t="str">
        <f t="shared" ca="1" si="9"/>
        <v>VCL-2195</v>
      </c>
      <c r="K36" s="2" t="str">
        <f t="shared" ca="1" si="10"/>
        <v>BMW X1</v>
      </c>
      <c r="L36" s="2" t="str">
        <f t="shared" ca="1" si="11"/>
        <v>BMW</v>
      </c>
      <c r="M36" s="2" t="str">
        <f t="shared" ca="1" si="12"/>
        <v>Luxo</v>
      </c>
      <c r="N36" s="2">
        <f t="shared" ca="1" si="13"/>
        <v>2022</v>
      </c>
      <c r="O36" s="2" t="str">
        <f t="shared" ca="1" si="14"/>
        <v>Loja</v>
      </c>
      <c r="P36" s="2" t="str">
        <f t="shared" ca="1" si="15"/>
        <v>Centro-Oeste</v>
      </c>
      <c r="Q36" s="2" t="str">
        <f t="shared" ca="1" si="16"/>
        <v>GO</v>
      </c>
      <c r="R36" s="2" t="str">
        <f t="shared" ca="1" si="17"/>
        <v>Aparecida de Goiânia</v>
      </c>
      <c r="S36" s="8">
        <f t="shared" ca="1" si="18"/>
        <v>2</v>
      </c>
      <c r="T36" s="10">
        <f t="shared" ca="1" si="19"/>
        <v>211729</v>
      </c>
      <c r="U36" s="10">
        <f t="shared" ca="1" si="20"/>
        <v>167265.91</v>
      </c>
      <c r="V36" s="10">
        <f t="shared" ca="1" si="21"/>
        <v>423458</v>
      </c>
      <c r="W36" s="10">
        <f t="shared" ca="1" si="22"/>
        <v>334531.82</v>
      </c>
      <c r="X36" s="10">
        <f t="shared" ca="1" si="23"/>
        <v>88926.18</v>
      </c>
      <c r="Y36" s="12">
        <f t="shared" ca="1" si="24"/>
        <v>0.21</v>
      </c>
      <c r="Z36" s="2" t="str">
        <f t="shared" ca="1" si="25"/>
        <v>Cancelada</v>
      </c>
      <c r="AA36" s="8">
        <f t="shared" ca="1" si="26"/>
        <v>15</v>
      </c>
      <c r="AB36" s="2">
        <f t="shared" ca="1" si="27"/>
        <v>8</v>
      </c>
      <c r="AC36" s="2">
        <f t="shared" ca="1" si="28"/>
        <v>3</v>
      </c>
    </row>
    <row r="37" spans="1:29" x14ac:dyDescent="0.25">
      <c r="A37" s="14" t="str">
        <f t="shared" si="0"/>
        <v>VND-00037</v>
      </c>
      <c r="B37" s="5">
        <f t="shared" ca="1" si="1"/>
        <v>45029</v>
      </c>
      <c r="C37" s="2">
        <f t="shared" ca="1" si="2"/>
        <v>2023</v>
      </c>
      <c r="D37" s="2" t="str">
        <f t="shared" ca="1" si="3"/>
        <v>abril</v>
      </c>
      <c r="E37" s="2" t="str">
        <f t="shared" ca="1" si="4"/>
        <v>2023/04</v>
      </c>
      <c r="F37" s="14" t="str">
        <f t="shared" ca="1" si="5"/>
        <v>CLI-7756</v>
      </c>
      <c r="G37" s="2" t="str">
        <f t="shared" ca="1" si="6"/>
        <v>Maria</v>
      </c>
      <c r="H37" s="2" t="str">
        <f t="shared" ca="1" si="7"/>
        <v>Recorrente</v>
      </c>
      <c r="I37" s="2" t="str">
        <f t="shared" ca="1" si="8"/>
        <v>Camila</v>
      </c>
      <c r="J37" s="14" t="str">
        <f t="shared" ca="1" si="9"/>
        <v>VCL-4282</v>
      </c>
      <c r="K37" s="2" t="str">
        <f t="shared" ca="1" si="10"/>
        <v>Corolla</v>
      </c>
      <c r="L37" s="2" t="str">
        <f t="shared" ca="1" si="11"/>
        <v>Toyota</v>
      </c>
      <c r="M37" s="2" t="str">
        <f t="shared" ca="1" si="12"/>
        <v>SUV</v>
      </c>
      <c r="N37" s="2">
        <f t="shared" ca="1" si="13"/>
        <v>2018</v>
      </c>
      <c r="O37" s="2" t="str">
        <f t="shared" ca="1" si="14"/>
        <v>Loja</v>
      </c>
      <c r="P37" s="2" t="str">
        <f t="shared" ca="1" si="15"/>
        <v>Centro-Oeste</v>
      </c>
      <c r="Q37" s="2" t="str">
        <f t="shared" ca="1" si="16"/>
        <v>GO</v>
      </c>
      <c r="R37" s="2" t="str">
        <f t="shared" ca="1" si="17"/>
        <v>Anápolis</v>
      </c>
      <c r="S37" s="8">
        <f t="shared" ca="1" si="18"/>
        <v>9</v>
      </c>
      <c r="T37" s="10">
        <f t="shared" ca="1" si="19"/>
        <v>222430</v>
      </c>
      <c r="U37" s="10">
        <f t="shared" ca="1" si="20"/>
        <v>182392.59999999998</v>
      </c>
      <c r="V37" s="10">
        <f t="shared" ca="1" si="21"/>
        <v>2001870</v>
      </c>
      <c r="W37" s="10">
        <f t="shared" ca="1" si="22"/>
        <v>1641533.4</v>
      </c>
      <c r="X37" s="10">
        <f t="shared" ca="1" si="23"/>
        <v>360336.60000000009</v>
      </c>
      <c r="Y37" s="12">
        <f t="shared" ca="1" si="24"/>
        <v>0.18000000000000005</v>
      </c>
      <c r="Z37" s="2" t="str">
        <f t="shared" ca="1" si="25"/>
        <v>Concluída</v>
      </c>
      <c r="AA37" s="8">
        <f t="shared" ca="1" si="26"/>
        <v>30</v>
      </c>
      <c r="AB37" s="2">
        <f t="shared" ca="1" si="27"/>
        <v>5</v>
      </c>
      <c r="AC37" s="2">
        <f t="shared" ca="1" si="28"/>
        <v>7</v>
      </c>
    </row>
    <row r="38" spans="1:29" x14ac:dyDescent="0.25">
      <c r="A38" s="14" t="str">
        <f t="shared" si="0"/>
        <v>VND-00038</v>
      </c>
      <c r="B38" s="5">
        <f t="shared" ca="1" si="1"/>
        <v>45219</v>
      </c>
      <c r="C38" s="2">
        <f t="shared" ca="1" si="2"/>
        <v>2023</v>
      </c>
      <c r="D38" s="2" t="str">
        <f t="shared" ca="1" si="3"/>
        <v>outubro</v>
      </c>
      <c r="E38" s="2" t="str">
        <f t="shared" ca="1" si="4"/>
        <v>2023/10</v>
      </c>
      <c r="F38" s="14" t="str">
        <f t="shared" ca="1" si="5"/>
        <v>CLI-9569</v>
      </c>
      <c r="G38" s="2" t="str">
        <f t="shared" ca="1" si="6"/>
        <v>João</v>
      </c>
      <c r="H38" s="2" t="str">
        <f t="shared" ca="1" si="7"/>
        <v>Recorrente</v>
      </c>
      <c r="I38" s="2" t="str">
        <f t="shared" ca="1" si="8"/>
        <v>Carla</v>
      </c>
      <c r="J38" s="14" t="str">
        <f t="shared" ca="1" si="9"/>
        <v>VCL-3865</v>
      </c>
      <c r="K38" s="2" t="str">
        <f t="shared" ca="1" si="10"/>
        <v>BMW X1</v>
      </c>
      <c r="L38" s="2" t="str">
        <f t="shared" ca="1" si="11"/>
        <v>BMW</v>
      </c>
      <c r="M38" s="2" t="str">
        <f t="shared" ca="1" si="12"/>
        <v>Luxo</v>
      </c>
      <c r="N38" s="2">
        <f t="shared" ca="1" si="13"/>
        <v>2024</v>
      </c>
      <c r="O38" s="2" t="str">
        <f t="shared" ca="1" si="14"/>
        <v>Loja</v>
      </c>
      <c r="P38" s="2" t="str">
        <f t="shared" ca="1" si="15"/>
        <v>Sul</v>
      </c>
      <c r="Q38" s="2" t="str">
        <f t="shared" ca="1" si="16"/>
        <v>SC</v>
      </c>
      <c r="R38" s="2" t="str">
        <f t="shared" ca="1" si="17"/>
        <v>Florianópolis</v>
      </c>
      <c r="S38" s="8">
        <f t="shared" ca="1" si="18"/>
        <v>9</v>
      </c>
      <c r="T38" s="10">
        <f t="shared" ca="1" si="19"/>
        <v>93581</v>
      </c>
      <c r="U38" s="10">
        <f t="shared" ca="1" si="20"/>
        <v>66442.509999999995</v>
      </c>
      <c r="V38" s="10">
        <f t="shared" ca="1" si="21"/>
        <v>842229</v>
      </c>
      <c r="W38" s="10">
        <f t="shared" ca="1" si="22"/>
        <v>597982.59</v>
      </c>
      <c r="X38" s="10">
        <f t="shared" ca="1" si="23"/>
        <v>244246.41000000003</v>
      </c>
      <c r="Y38" s="12">
        <f t="shared" ca="1" si="24"/>
        <v>0.29000000000000004</v>
      </c>
      <c r="Z38" s="2" t="str">
        <f t="shared" ca="1" si="25"/>
        <v>Cancelada</v>
      </c>
      <c r="AA38" s="8">
        <f t="shared" ca="1" si="26"/>
        <v>24</v>
      </c>
      <c r="AB38" s="2">
        <f t="shared" ca="1" si="27"/>
        <v>7</v>
      </c>
      <c r="AC38" s="2">
        <f t="shared" ca="1" si="28"/>
        <v>3</v>
      </c>
    </row>
    <row r="39" spans="1:29" x14ac:dyDescent="0.25">
      <c r="A39" s="14" t="str">
        <f t="shared" si="0"/>
        <v>VND-00039</v>
      </c>
      <c r="B39" s="5">
        <f t="shared" ca="1" si="1"/>
        <v>45982</v>
      </c>
      <c r="C39" s="2">
        <f t="shared" ca="1" si="2"/>
        <v>2025</v>
      </c>
      <c r="D39" s="2" t="str">
        <f t="shared" ca="1" si="3"/>
        <v>novembro</v>
      </c>
      <c r="E39" s="2" t="str">
        <f t="shared" ca="1" si="4"/>
        <v>2025/11</v>
      </c>
      <c r="F39" s="14" t="str">
        <f t="shared" ca="1" si="5"/>
        <v>CLI-5894</v>
      </c>
      <c r="G39" s="2" t="str">
        <f t="shared" ca="1" si="6"/>
        <v>Lucas</v>
      </c>
      <c r="H39" s="2" t="str">
        <f t="shared" ca="1" si="7"/>
        <v>Novo</v>
      </c>
      <c r="I39" s="2" t="str">
        <f t="shared" ca="1" si="8"/>
        <v>André</v>
      </c>
      <c r="J39" s="14" t="str">
        <f t="shared" ca="1" si="9"/>
        <v>VCL-9190</v>
      </c>
      <c r="K39" s="2" t="str">
        <f t="shared" ca="1" si="10"/>
        <v>Onix</v>
      </c>
      <c r="L39" s="2" t="str">
        <f t="shared" ca="1" si="11"/>
        <v>Chevrolet</v>
      </c>
      <c r="M39" s="2" t="str">
        <f t="shared" ca="1" si="12"/>
        <v>Popular</v>
      </c>
      <c r="N39" s="2">
        <f t="shared" ca="1" si="13"/>
        <v>2019</v>
      </c>
      <c r="O39" s="2" t="str">
        <f t="shared" ca="1" si="14"/>
        <v>Loja</v>
      </c>
      <c r="P39" s="2" t="str">
        <f t="shared" ca="1" si="15"/>
        <v>Nordeste</v>
      </c>
      <c r="Q39" s="2" t="str">
        <f t="shared" ca="1" si="16"/>
        <v>PE</v>
      </c>
      <c r="R39" s="2" t="str">
        <f t="shared" ca="1" si="17"/>
        <v>Olinda</v>
      </c>
      <c r="S39" s="8">
        <f t="shared" ca="1" si="18"/>
        <v>7</v>
      </c>
      <c r="T39" s="10">
        <f t="shared" ca="1" si="19"/>
        <v>231999</v>
      </c>
      <c r="U39" s="10">
        <f t="shared" ca="1" si="20"/>
        <v>162399.29999999999</v>
      </c>
      <c r="V39" s="10">
        <f t="shared" ca="1" si="21"/>
        <v>1623993</v>
      </c>
      <c r="W39" s="10">
        <f t="shared" ca="1" si="22"/>
        <v>1136795.0999999999</v>
      </c>
      <c r="X39" s="10">
        <f t="shared" ca="1" si="23"/>
        <v>487197.90000000014</v>
      </c>
      <c r="Y39" s="12">
        <f t="shared" ca="1" si="24"/>
        <v>0.3000000000000001</v>
      </c>
      <c r="Z39" s="2" t="str">
        <f t="shared" ca="1" si="25"/>
        <v>Cancelada</v>
      </c>
      <c r="AA39" s="8">
        <f t="shared" ca="1" si="26"/>
        <v>23</v>
      </c>
      <c r="AB39" s="2">
        <f t="shared" ca="1" si="27"/>
        <v>22</v>
      </c>
      <c r="AC39" s="2">
        <f t="shared" ca="1" si="28"/>
        <v>10</v>
      </c>
    </row>
    <row r="40" spans="1:29" x14ac:dyDescent="0.25">
      <c r="A40" s="14" t="str">
        <f t="shared" si="0"/>
        <v>VND-00040</v>
      </c>
      <c r="B40" s="5">
        <f t="shared" ca="1" si="1"/>
        <v>45302</v>
      </c>
      <c r="C40" s="2">
        <f t="shared" ca="1" si="2"/>
        <v>2024</v>
      </c>
      <c r="D40" s="2" t="str">
        <f t="shared" ca="1" si="3"/>
        <v>janeiro</v>
      </c>
      <c r="E40" s="2" t="str">
        <f t="shared" ca="1" si="4"/>
        <v>2024/01</v>
      </c>
      <c r="F40" s="14" t="str">
        <f t="shared" ca="1" si="5"/>
        <v>CLI-9172</v>
      </c>
      <c r="G40" s="2" t="str">
        <f t="shared" ca="1" si="6"/>
        <v>Juliana</v>
      </c>
      <c r="H40" s="2" t="str">
        <f t="shared" ca="1" si="7"/>
        <v>Novo</v>
      </c>
      <c r="I40" s="2" t="str">
        <f t="shared" ca="1" si="8"/>
        <v>Lucas</v>
      </c>
      <c r="J40" s="14" t="str">
        <f t="shared" ca="1" si="9"/>
        <v>VCL-6416</v>
      </c>
      <c r="K40" s="2" t="str">
        <f t="shared" ca="1" si="10"/>
        <v>Onix</v>
      </c>
      <c r="L40" s="2" t="str">
        <f t="shared" ca="1" si="11"/>
        <v>Chevrolet</v>
      </c>
      <c r="M40" s="2" t="str">
        <f t="shared" ca="1" si="12"/>
        <v>Popular</v>
      </c>
      <c r="N40" s="2">
        <f t="shared" ca="1" si="13"/>
        <v>2019</v>
      </c>
      <c r="O40" s="2" t="str">
        <f t="shared" ca="1" si="14"/>
        <v>Loja</v>
      </c>
      <c r="P40" s="2" t="str">
        <f t="shared" ca="1" si="15"/>
        <v>Sudeste</v>
      </c>
      <c r="Q40" s="2" t="str">
        <f t="shared" ca="1" si="16"/>
        <v>SP</v>
      </c>
      <c r="R40" s="2" t="str">
        <f t="shared" ca="1" si="17"/>
        <v>Ribeirão Preto</v>
      </c>
      <c r="S40" s="8">
        <f t="shared" ca="1" si="18"/>
        <v>10</v>
      </c>
      <c r="T40" s="10">
        <f t="shared" ca="1" si="19"/>
        <v>100168</v>
      </c>
      <c r="U40" s="10">
        <f t="shared" ca="1" si="20"/>
        <v>82137.759999999995</v>
      </c>
      <c r="V40" s="10">
        <f t="shared" ca="1" si="21"/>
        <v>1001680</v>
      </c>
      <c r="W40" s="10">
        <f t="shared" ca="1" si="22"/>
        <v>821377.6</v>
      </c>
      <c r="X40" s="10">
        <f t="shared" ca="1" si="23"/>
        <v>180302.40000000002</v>
      </c>
      <c r="Y40" s="12">
        <f t="shared" ca="1" si="24"/>
        <v>0.18000000000000002</v>
      </c>
      <c r="Z40" s="2" t="str">
        <f t="shared" ca="1" si="25"/>
        <v>Em negociação</v>
      </c>
      <c r="AA40" s="8">
        <f t="shared" ca="1" si="26"/>
        <v>29</v>
      </c>
      <c r="AB40" s="2">
        <f t="shared" ca="1" si="27"/>
        <v>11</v>
      </c>
      <c r="AC40" s="2">
        <f t="shared" ca="1" si="28"/>
        <v>10</v>
      </c>
    </row>
    <row r="41" spans="1:29" x14ac:dyDescent="0.25">
      <c r="A41" s="14" t="str">
        <f t="shared" si="0"/>
        <v>VND-00041</v>
      </c>
      <c r="B41" s="5">
        <f t="shared" ca="1" si="1"/>
        <v>45907</v>
      </c>
      <c r="C41" s="2">
        <f t="shared" ca="1" si="2"/>
        <v>2025</v>
      </c>
      <c r="D41" s="2" t="str">
        <f t="shared" ca="1" si="3"/>
        <v>setembro</v>
      </c>
      <c r="E41" s="2" t="str">
        <f t="shared" ca="1" si="4"/>
        <v>2025/09</v>
      </c>
      <c r="F41" s="14" t="str">
        <f t="shared" ca="1" si="5"/>
        <v>CLI-1391</v>
      </c>
      <c r="G41" s="2" t="str">
        <f t="shared" ca="1" si="6"/>
        <v>Rafael</v>
      </c>
      <c r="H41" s="2" t="str">
        <f t="shared" ca="1" si="7"/>
        <v>Recorrente</v>
      </c>
      <c r="I41" s="2" t="str">
        <f t="shared" ca="1" si="8"/>
        <v>Camila</v>
      </c>
      <c r="J41" s="14" t="str">
        <f t="shared" ca="1" si="9"/>
        <v>VCL-1665</v>
      </c>
      <c r="K41" s="2" t="str">
        <f t="shared" ca="1" si="10"/>
        <v>BMW X1</v>
      </c>
      <c r="L41" s="2" t="str">
        <f t="shared" ca="1" si="11"/>
        <v>BMW</v>
      </c>
      <c r="M41" s="2" t="str">
        <f t="shared" ca="1" si="12"/>
        <v>Luxo</v>
      </c>
      <c r="N41" s="2">
        <f t="shared" ca="1" si="13"/>
        <v>2017</v>
      </c>
      <c r="O41" s="2" t="str">
        <f t="shared" ca="1" si="14"/>
        <v>Loja</v>
      </c>
      <c r="P41" s="2" t="str">
        <f t="shared" ca="1" si="15"/>
        <v>Centro-Oeste</v>
      </c>
      <c r="Q41" s="2" t="str">
        <f t="shared" ca="1" si="16"/>
        <v>MT</v>
      </c>
      <c r="R41" s="2" t="str">
        <f t="shared" ca="1" si="17"/>
        <v>Rondonópolis</v>
      </c>
      <c r="S41" s="8">
        <f t="shared" ca="1" si="18"/>
        <v>4</v>
      </c>
      <c r="T41" s="10">
        <f t="shared" ca="1" si="19"/>
        <v>108028</v>
      </c>
      <c r="U41" s="10">
        <f t="shared" ca="1" si="20"/>
        <v>91823.8</v>
      </c>
      <c r="V41" s="10">
        <f t="shared" ca="1" si="21"/>
        <v>432112</v>
      </c>
      <c r="W41" s="10">
        <f t="shared" ca="1" si="22"/>
        <v>367295.2</v>
      </c>
      <c r="X41" s="10">
        <f t="shared" ca="1" si="23"/>
        <v>64816.799999999988</v>
      </c>
      <c r="Y41" s="12">
        <f t="shared" ca="1" si="24"/>
        <v>0.14999999999999997</v>
      </c>
      <c r="Z41" s="2" t="str">
        <f t="shared" ca="1" si="25"/>
        <v>Concluída</v>
      </c>
      <c r="AA41" s="8">
        <f t="shared" ca="1" si="26"/>
        <v>24</v>
      </c>
      <c r="AB41" s="2">
        <f t="shared" ca="1" si="27"/>
        <v>6</v>
      </c>
      <c r="AC41" s="2">
        <f t="shared" ca="1" si="28"/>
        <v>3</v>
      </c>
    </row>
    <row r="42" spans="1:29" x14ac:dyDescent="0.25">
      <c r="A42" s="14" t="str">
        <f t="shared" si="0"/>
        <v>VND-00042</v>
      </c>
      <c r="B42" s="5">
        <f t="shared" ca="1" si="1"/>
        <v>45514</v>
      </c>
      <c r="C42" s="2">
        <f t="shared" ca="1" si="2"/>
        <v>2024</v>
      </c>
      <c r="D42" s="2" t="str">
        <f t="shared" ca="1" si="3"/>
        <v>agosto</v>
      </c>
      <c r="E42" s="2" t="str">
        <f t="shared" ca="1" si="4"/>
        <v>2024/08</v>
      </c>
      <c r="F42" s="14" t="str">
        <f t="shared" ca="1" si="5"/>
        <v>CLI-5771</v>
      </c>
      <c r="G42" s="2" t="str">
        <f t="shared" ca="1" si="6"/>
        <v>Ana</v>
      </c>
      <c r="H42" s="2" t="str">
        <f t="shared" ca="1" si="7"/>
        <v>Recorrente</v>
      </c>
      <c r="I42" s="2" t="str">
        <f t="shared" ca="1" si="8"/>
        <v>Tatiane</v>
      </c>
      <c r="J42" s="14" t="str">
        <f t="shared" ca="1" si="9"/>
        <v>VCL-4643</v>
      </c>
      <c r="K42" s="2" t="str">
        <f t="shared" ca="1" si="10"/>
        <v>HB20</v>
      </c>
      <c r="L42" s="2" t="str">
        <f t="shared" ca="1" si="11"/>
        <v>Hyundai</v>
      </c>
      <c r="M42" s="2" t="str">
        <f t="shared" ca="1" si="12"/>
        <v>Popular</v>
      </c>
      <c r="N42" s="2">
        <f t="shared" ca="1" si="13"/>
        <v>2020</v>
      </c>
      <c r="O42" s="2" t="str">
        <f t="shared" ca="1" si="14"/>
        <v>Loja</v>
      </c>
      <c r="P42" s="2" t="str">
        <f t="shared" ca="1" si="15"/>
        <v>Norte</v>
      </c>
      <c r="Q42" s="2" t="str">
        <f t="shared" ca="1" si="16"/>
        <v>PA</v>
      </c>
      <c r="R42" s="2" t="str">
        <f t="shared" ca="1" si="17"/>
        <v>Santarém</v>
      </c>
      <c r="S42" s="8">
        <f t="shared" ca="1" si="18"/>
        <v>2</v>
      </c>
      <c r="T42" s="10">
        <f t="shared" ca="1" si="19"/>
        <v>227045</v>
      </c>
      <c r="U42" s="10">
        <f t="shared" ca="1" si="20"/>
        <v>170283.75</v>
      </c>
      <c r="V42" s="10">
        <f t="shared" ca="1" si="21"/>
        <v>454090</v>
      </c>
      <c r="W42" s="10">
        <f t="shared" ca="1" si="22"/>
        <v>340567.5</v>
      </c>
      <c r="X42" s="10">
        <f t="shared" ca="1" si="23"/>
        <v>113522.5</v>
      </c>
      <c r="Y42" s="12">
        <f t="shared" ca="1" si="24"/>
        <v>0.25</v>
      </c>
      <c r="Z42" s="2" t="str">
        <f t="shared" ca="1" si="25"/>
        <v>Cancelada</v>
      </c>
      <c r="AA42" s="8">
        <f t="shared" ca="1" si="26"/>
        <v>12</v>
      </c>
      <c r="AB42" s="2">
        <f t="shared" ca="1" si="27"/>
        <v>10</v>
      </c>
      <c r="AC42" s="2">
        <f t="shared" ca="1" si="28"/>
        <v>10</v>
      </c>
    </row>
    <row r="43" spans="1:29" x14ac:dyDescent="0.25">
      <c r="A43" s="14" t="str">
        <f t="shared" si="0"/>
        <v>VND-00043</v>
      </c>
      <c r="B43" s="5">
        <f t="shared" ca="1" si="1"/>
        <v>45691</v>
      </c>
      <c r="C43" s="2">
        <f t="shared" ca="1" si="2"/>
        <v>2025</v>
      </c>
      <c r="D43" s="2" t="str">
        <f t="shared" ca="1" si="3"/>
        <v>fevereiro</v>
      </c>
      <c r="E43" s="2" t="str">
        <f t="shared" ca="1" si="4"/>
        <v>2025/02</v>
      </c>
      <c r="F43" s="14" t="str">
        <f t="shared" ca="1" si="5"/>
        <v>CLI-9049</v>
      </c>
      <c r="G43" s="2" t="str">
        <f t="shared" ca="1" si="6"/>
        <v>Maria</v>
      </c>
      <c r="H43" s="2" t="str">
        <f t="shared" ca="1" si="7"/>
        <v>Recorrente</v>
      </c>
      <c r="I43" s="2" t="str">
        <f t="shared" ca="1" si="8"/>
        <v>Carla</v>
      </c>
      <c r="J43" s="14" t="str">
        <f t="shared" ca="1" si="9"/>
        <v>VCL-3645</v>
      </c>
      <c r="K43" s="2" t="str">
        <f t="shared" ca="1" si="10"/>
        <v>HB20</v>
      </c>
      <c r="L43" s="2" t="str">
        <f t="shared" ca="1" si="11"/>
        <v>Hyundai</v>
      </c>
      <c r="M43" s="2" t="str">
        <f t="shared" ca="1" si="12"/>
        <v>Popular</v>
      </c>
      <c r="N43" s="2">
        <f t="shared" ca="1" si="13"/>
        <v>2023</v>
      </c>
      <c r="O43" s="2" t="str">
        <f t="shared" ca="1" si="14"/>
        <v>Online</v>
      </c>
      <c r="P43" s="2" t="str">
        <f t="shared" ca="1" si="15"/>
        <v>Sul</v>
      </c>
      <c r="Q43" s="2" t="str">
        <f t="shared" ca="1" si="16"/>
        <v>RS</v>
      </c>
      <c r="R43" s="2" t="str">
        <f t="shared" ca="1" si="17"/>
        <v>Porto Alegre</v>
      </c>
      <c r="S43" s="8">
        <f t="shared" ca="1" si="18"/>
        <v>3</v>
      </c>
      <c r="T43" s="10">
        <f t="shared" ca="1" si="19"/>
        <v>233010</v>
      </c>
      <c r="U43" s="10">
        <f t="shared" ca="1" si="20"/>
        <v>195728.4</v>
      </c>
      <c r="V43" s="10">
        <f t="shared" ca="1" si="21"/>
        <v>699030</v>
      </c>
      <c r="W43" s="10">
        <f t="shared" ca="1" si="22"/>
        <v>587185.19999999995</v>
      </c>
      <c r="X43" s="10">
        <f t="shared" ca="1" si="23"/>
        <v>111844.80000000005</v>
      </c>
      <c r="Y43" s="12">
        <f t="shared" ca="1" si="24"/>
        <v>0.16000000000000006</v>
      </c>
      <c r="Z43" s="2" t="str">
        <f t="shared" ca="1" si="25"/>
        <v>Cancelada</v>
      </c>
      <c r="AA43" s="8">
        <f t="shared" ca="1" si="26"/>
        <v>6</v>
      </c>
      <c r="AB43" s="2">
        <f t="shared" ca="1" si="27"/>
        <v>18</v>
      </c>
      <c r="AC43" s="2">
        <f t="shared" ca="1" si="28"/>
        <v>10</v>
      </c>
    </row>
    <row r="44" spans="1:29" x14ac:dyDescent="0.25">
      <c r="A44" s="14" t="str">
        <f t="shared" si="0"/>
        <v>VND-00044</v>
      </c>
      <c r="B44" s="5">
        <f t="shared" ca="1" si="1"/>
        <v>45300</v>
      </c>
      <c r="C44" s="2">
        <f t="shared" ca="1" si="2"/>
        <v>2024</v>
      </c>
      <c r="D44" s="2" t="str">
        <f t="shared" ca="1" si="3"/>
        <v>janeiro</v>
      </c>
      <c r="E44" s="2" t="str">
        <f t="shared" ca="1" si="4"/>
        <v>2024/01</v>
      </c>
      <c r="F44" s="14" t="str">
        <f t="shared" ca="1" si="5"/>
        <v>CLI-4924</v>
      </c>
      <c r="G44" s="2" t="str">
        <f t="shared" ca="1" si="6"/>
        <v>João</v>
      </c>
      <c r="H44" s="2" t="str">
        <f t="shared" ca="1" si="7"/>
        <v>Novo</v>
      </c>
      <c r="I44" s="2" t="str">
        <f t="shared" ca="1" si="8"/>
        <v>Patricia</v>
      </c>
      <c r="J44" s="14" t="str">
        <f t="shared" ca="1" si="9"/>
        <v>VCL-7609</v>
      </c>
      <c r="K44" s="2" t="str">
        <f t="shared" ca="1" si="10"/>
        <v>Compass</v>
      </c>
      <c r="L44" s="2" t="str">
        <f t="shared" ca="1" si="11"/>
        <v>Jeep</v>
      </c>
      <c r="M44" s="2" t="str">
        <f t="shared" ca="1" si="12"/>
        <v>SUV</v>
      </c>
      <c r="N44" s="2">
        <f t="shared" ca="1" si="13"/>
        <v>2019</v>
      </c>
      <c r="O44" s="2" t="str">
        <f t="shared" ca="1" si="14"/>
        <v>Loja</v>
      </c>
      <c r="P44" s="2" t="str">
        <f t="shared" ca="1" si="15"/>
        <v>Nordeste</v>
      </c>
      <c r="Q44" s="2" t="str">
        <f t="shared" ca="1" si="16"/>
        <v>PE</v>
      </c>
      <c r="R44" s="2" t="str">
        <f t="shared" ca="1" si="17"/>
        <v>Jaboatão</v>
      </c>
      <c r="S44" s="8">
        <f t="shared" ca="1" si="18"/>
        <v>8</v>
      </c>
      <c r="T44" s="10">
        <f t="shared" ca="1" si="19"/>
        <v>153985</v>
      </c>
      <c r="U44" s="10">
        <f t="shared" ca="1" si="20"/>
        <v>120108.3</v>
      </c>
      <c r="V44" s="10">
        <f t="shared" ca="1" si="21"/>
        <v>1231880</v>
      </c>
      <c r="W44" s="10">
        <f t="shared" ca="1" si="22"/>
        <v>960866.4</v>
      </c>
      <c r="X44" s="10">
        <f t="shared" ca="1" si="23"/>
        <v>271013.59999999998</v>
      </c>
      <c r="Y44" s="12">
        <f t="shared" ca="1" si="24"/>
        <v>0.21999999999999997</v>
      </c>
      <c r="Z44" s="2" t="str">
        <f t="shared" ca="1" si="25"/>
        <v>Em negociação</v>
      </c>
      <c r="AA44" s="8">
        <f t="shared" ca="1" si="26"/>
        <v>21</v>
      </c>
      <c r="AB44" s="2">
        <f t="shared" ca="1" si="27"/>
        <v>16</v>
      </c>
      <c r="AC44" s="2">
        <f t="shared" ca="1" si="28"/>
        <v>7</v>
      </c>
    </row>
    <row r="45" spans="1:29" x14ac:dyDescent="0.25">
      <c r="A45" s="14" t="str">
        <f t="shared" si="0"/>
        <v>VND-00045</v>
      </c>
      <c r="B45" s="5">
        <f t="shared" ca="1" si="1"/>
        <v>45489</v>
      </c>
      <c r="C45" s="2">
        <f t="shared" ca="1" si="2"/>
        <v>2024</v>
      </c>
      <c r="D45" s="2" t="str">
        <f t="shared" ca="1" si="3"/>
        <v>julho</v>
      </c>
      <c r="E45" s="2" t="str">
        <f t="shared" ca="1" si="4"/>
        <v>2024/07</v>
      </c>
      <c r="F45" s="14" t="str">
        <f t="shared" ca="1" si="5"/>
        <v>CLI-9598</v>
      </c>
      <c r="G45" s="2" t="str">
        <f t="shared" ca="1" si="6"/>
        <v>Carlos</v>
      </c>
      <c r="H45" s="2" t="str">
        <f t="shared" ca="1" si="7"/>
        <v>Novo</v>
      </c>
      <c r="I45" s="2" t="str">
        <f t="shared" ca="1" si="8"/>
        <v>Pedro</v>
      </c>
      <c r="J45" s="14" t="str">
        <f t="shared" ca="1" si="9"/>
        <v>VCL-7984</v>
      </c>
      <c r="K45" s="2" t="str">
        <f t="shared" ca="1" si="10"/>
        <v>HB20</v>
      </c>
      <c r="L45" s="2" t="str">
        <f t="shared" ca="1" si="11"/>
        <v>Hyundai</v>
      </c>
      <c r="M45" s="2" t="str">
        <f t="shared" ca="1" si="12"/>
        <v>Popular</v>
      </c>
      <c r="N45" s="2">
        <f t="shared" ca="1" si="13"/>
        <v>2023</v>
      </c>
      <c r="O45" s="2" t="str">
        <f t="shared" ca="1" si="14"/>
        <v>Loja</v>
      </c>
      <c r="P45" s="2" t="str">
        <f t="shared" ca="1" si="15"/>
        <v>Sudeste</v>
      </c>
      <c r="Q45" s="2" t="str">
        <f t="shared" ca="1" si="16"/>
        <v>RJ</v>
      </c>
      <c r="R45" s="2" t="str">
        <f t="shared" ca="1" si="17"/>
        <v>Duque de Caxias</v>
      </c>
      <c r="S45" s="8">
        <f t="shared" ca="1" si="18"/>
        <v>4</v>
      </c>
      <c r="T45" s="10">
        <f t="shared" ca="1" si="19"/>
        <v>75451</v>
      </c>
      <c r="U45" s="10">
        <f t="shared" ca="1" si="20"/>
        <v>59606.29</v>
      </c>
      <c r="V45" s="10">
        <f t="shared" ca="1" si="21"/>
        <v>301804</v>
      </c>
      <c r="W45" s="10">
        <f t="shared" ca="1" si="22"/>
        <v>238425.16</v>
      </c>
      <c r="X45" s="10">
        <f t="shared" ca="1" si="23"/>
        <v>63378.84</v>
      </c>
      <c r="Y45" s="12">
        <f t="shared" ca="1" si="24"/>
        <v>0.21</v>
      </c>
      <c r="Z45" s="2" t="str">
        <f t="shared" ca="1" si="25"/>
        <v>Em negociação</v>
      </c>
      <c r="AA45" s="8">
        <f t="shared" ca="1" si="26"/>
        <v>9</v>
      </c>
      <c r="AB45" s="2">
        <f t="shared" ca="1" si="27"/>
        <v>13</v>
      </c>
      <c r="AC45" s="2">
        <f t="shared" ca="1" si="28"/>
        <v>10</v>
      </c>
    </row>
    <row r="46" spans="1:29" x14ac:dyDescent="0.25">
      <c r="A46" s="14" t="str">
        <f t="shared" si="0"/>
        <v>VND-00046</v>
      </c>
      <c r="B46" s="5">
        <f t="shared" ca="1" si="1"/>
        <v>45922</v>
      </c>
      <c r="C46" s="2">
        <f t="shared" ca="1" si="2"/>
        <v>2025</v>
      </c>
      <c r="D46" s="2" t="str">
        <f t="shared" ca="1" si="3"/>
        <v>setembro</v>
      </c>
      <c r="E46" s="2" t="str">
        <f t="shared" ca="1" si="4"/>
        <v>2025/09</v>
      </c>
      <c r="F46" s="14" t="str">
        <f t="shared" ca="1" si="5"/>
        <v>CLI-8645</v>
      </c>
      <c r="G46" s="2" t="str">
        <f t="shared" ca="1" si="6"/>
        <v>Rafael</v>
      </c>
      <c r="H46" s="2" t="str">
        <f t="shared" ca="1" si="7"/>
        <v>Recorrente</v>
      </c>
      <c r="I46" s="2" t="str">
        <f t="shared" ca="1" si="8"/>
        <v>Amanda</v>
      </c>
      <c r="J46" s="14" t="str">
        <f t="shared" ca="1" si="9"/>
        <v>VCL-3900</v>
      </c>
      <c r="K46" s="2" t="str">
        <f t="shared" ca="1" si="10"/>
        <v>Compass</v>
      </c>
      <c r="L46" s="2" t="str">
        <f t="shared" ca="1" si="11"/>
        <v>Jeep</v>
      </c>
      <c r="M46" s="2" t="str">
        <f t="shared" ca="1" si="12"/>
        <v>SUV</v>
      </c>
      <c r="N46" s="2">
        <f t="shared" ca="1" si="13"/>
        <v>2024</v>
      </c>
      <c r="O46" s="2" t="str">
        <f t="shared" ca="1" si="14"/>
        <v>Loja</v>
      </c>
      <c r="P46" s="2" t="str">
        <f t="shared" ca="1" si="15"/>
        <v>Norte</v>
      </c>
      <c r="Q46" s="2" t="str">
        <f t="shared" ca="1" si="16"/>
        <v>AM</v>
      </c>
      <c r="R46" s="2" t="str">
        <f t="shared" ca="1" si="17"/>
        <v>Coari</v>
      </c>
      <c r="S46" s="8">
        <f t="shared" ca="1" si="18"/>
        <v>10</v>
      </c>
      <c r="T46" s="10">
        <f t="shared" ca="1" si="19"/>
        <v>164415</v>
      </c>
      <c r="U46" s="10">
        <f t="shared" ca="1" si="20"/>
        <v>123311.25</v>
      </c>
      <c r="V46" s="10">
        <f t="shared" ca="1" si="21"/>
        <v>1644150</v>
      </c>
      <c r="W46" s="10">
        <f t="shared" ca="1" si="22"/>
        <v>1233112.5</v>
      </c>
      <c r="X46" s="10">
        <f t="shared" ca="1" si="23"/>
        <v>411037.5</v>
      </c>
      <c r="Y46" s="12">
        <f t="shared" ca="1" si="24"/>
        <v>0.25</v>
      </c>
      <c r="Z46" s="2" t="str">
        <f t="shared" ca="1" si="25"/>
        <v>Cancelada</v>
      </c>
      <c r="AA46" s="8">
        <f t="shared" ca="1" si="26"/>
        <v>12</v>
      </c>
      <c r="AB46" s="2">
        <f t="shared" ca="1" si="27"/>
        <v>16</v>
      </c>
      <c r="AC46" s="2">
        <f t="shared" ca="1" si="28"/>
        <v>7</v>
      </c>
    </row>
    <row r="47" spans="1:29" x14ac:dyDescent="0.25">
      <c r="A47" s="14" t="str">
        <f t="shared" si="0"/>
        <v>VND-00047</v>
      </c>
      <c r="B47" s="5">
        <f t="shared" ca="1" si="1"/>
        <v>45591</v>
      </c>
      <c r="C47" s="2">
        <f t="shared" ca="1" si="2"/>
        <v>2024</v>
      </c>
      <c r="D47" s="2" t="str">
        <f t="shared" ca="1" si="3"/>
        <v>outubro</v>
      </c>
      <c r="E47" s="2" t="str">
        <f t="shared" ca="1" si="4"/>
        <v>2024/10</v>
      </c>
      <c r="F47" s="14" t="str">
        <f t="shared" ca="1" si="5"/>
        <v>CLI-4202</v>
      </c>
      <c r="G47" s="2" t="str">
        <f t="shared" ca="1" si="6"/>
        <v>Lucas</v>
      </c>
      <c r="H47" s="2" t="str">
        <f t="shared" ca="1" si="7"/>
        <v>Novo</v>
      </c>
      <c r="I47" s="2" t="str">
        <f t="shared" ca="1" si="8"/>
        <v>Carlos</v>
      </c>
      <c r="J47" s="14" t="str">
        <f t="shared" ca="1" si="9"/>
        <v>VCL-1143</v>
      </c>
      <c r="K47" s="2" t="str">
        <f t="shared" ca="1" si="10"/>
        <v>HB20</v>
      </c>
      <c r="L47" s="2" t="str">
        <f t="shared" ca="1" si="11"/>
        <v>Hyundai</v>
      </c>
      <c r="M47" s="2" t="str">
        <f t="shared" ca="1" si="12"/>
        <v>Popular</v>
      </c>
      <c r="N47" s="2">
        <f t="shared" ca="1" si="13"/>
        <v>2022</v>
      </c>
      <c r="O47" s="2" t="str">
        <f t="shared" ca="1" si="14"/>
        <v>Loja</v>
      </c>
      <c r="P47" s="2" t="str">
        <f t="shared" ca="1" si="15"/>
        <v>Norte</v>
      </c>
      <c r="Q47" s="2" t="str">
        <f t="shared" ca="1" si="16"/>
        <v>PA</v>
      </c>
      <c r="R47" s="2" t="str">
        <f t="shared" ca="1" si="17"/>
        <v>Belém</v>
      </c>
      <c r="S47" s="8">
        <f t="shared" ca="1" si="18"/>
        <v>6</v>
      </c>
      <c r="T47" s="10">
        <f t="shared" ca="1" si="19"/>
        <v>231087</v>
      </c>
      <c r="U47" s="10">
        <f t="shared" ca="1" si="20"/>
        <v>161760.9</v>
      </c>
      <c r="V47" s="10">
        <f t="shared" ca="1" si="21"/>
        <v>1386522</v>
      </c>
      <c r="W47" s="10">
        <f t="shared" ca="1" si="22"/>
        <v>970565.39999999991</v>
      </c>
      <c r="X47" s="10">
        <f t="shared" ca="1" si="23"/>
        <v>415956.60000000009</v>
      </c>
      <c r="Y47" s="12">
        <f t="shared" ca="1" si="24"/>
        <v>0.30000000000000004</v>
      </c>
      <c r="Z47" s="2" t="str">
        <f t="shared" ca="1" si="25"/>
        <v>Concluída</v>
      </c>
      <c r="AA47" s="8">
        <f t="shared" ca="1" si="26"/>
        <v>24</v>
      </c>
      <c r="AB47" s="2">
        <f t="shared" ca="1" si="27"/>
        <v>30</v>
      </c>
      <c r="AC47" s="2">
        <f t="shared" ca="1" si="28"/>
        <v>10</v>
      </c>
    </row>
    <row r="48" spans="1:29" x14ac:dyDescent="0.25">
      <c r="A48" s="14" t="str">
        <f t="shared" si="0"/>
        <v>VND-00048</v>
      </c>
      <c r="B48" s="5">
        <f t="shared" ca="1" si="1"/>
        <v>45274</v>
      </c>
      <c r="C48" s="2">
        <f t="shared" ca="1" si="2"/>
        <v>2023</v>
      </c>
      <c r="D48" s="2" t="str">
        <f t="shared" ca="1" si="3"/>
        <v>dezembro</v>
      </c>
      <c r="E48" s="2" t="str">
        <f t="shared" ca="1" si="4"/>
        <v>2023/12</v>
      </c>
      <c r="F48" s="14" t="str">
        <f t="shared" ca="1" si="5"/>
        <v>CLI-6686</v>
      </c>
      <c r="G48" s="2" t="str">
        <f t="shared" ca="1" si="6"/>
        <v>João</v>
      </c>
      <c r="H48" s="2" t="str">
        <f t="shared" ca="1" si="7"/>
        <v>Recorrente</v>
      </c>
      <c r="I48" s="2" t="str">
        <f t="shared" ca="1" si="8"/>
        <v>Larissa</v>
      </c>
      <c r="J48" s="14" t="str">
        <f t="shared" ca="1" si="9"/>
        <v>VCL-9753</v>
      </c>
      <c r="K48" s="2" t="str">
        <f t="shared" ca="1" si="10"/>
        <v>HB20</v>
      </c>
      <c r="L48" s="2" t="str">
        <f t="shared" ca="1" si="11"/>
        <v>Hyundai</v>
      </c>
      <c r="M48" s="2" t="str">
        <f t="shared" ca="1" si="12"/>
        <v>Popular</v>
      </c>
      <c r="N48" s="2">
        <f t="shared" ca="1" si="13"/>
        <v>2024</v>
      </c>
      <c r="O48" s="2" t="str">
        <f t="shared" ca="1" si="14"/>
        <v>Loja</v>
      </c>
      <c r="P48" s="2" t="str">
        <f t="shared" ca="1" si="15"/>
        <v>Centro-Oeste</v>
      </c>
      <c r="Q48" s="2" t="str">
        <f t="shared" ca="1" si="16"/>
        <v>DF</v>
      </c>
      <c r="R48" s="2" t="str">
        <f t="shared" ca="1" si="17"/>
        <v>Taguatinga</v>
      </c>
      <c r="S48" s="8">
        <f t="shared" ca="1" si="18"/>
        <v>5</v>
      </c>
      <c r="T48" s="10">
        <f t="shared" ca="1" si="19"/>
        <v>158634</v>
      </c>
      <c r="U48" s="10">
        <f t="shared" ca="1" si="20"/>
        <v>128493.54000000001</v>
      </c>
      <c r="V48" s="10">
        <f t="shared" ca="1" si="21"/>
        <v>793170</v>
      </c>
      <c r="W48" s="10">
        <f t="shared" ca="1" si="22"/>
        <v>642467.70000000007</v>
      </c>
      <c r="X48" s="10">
        <f t="shared" ca="1" si="23"/>
        <v>150702.29999999993</v>
      </c>
      <c r="Y48" s="12">
        <f t="shared" ca="1" si="24"/>
        <v>0.18999999999999992</v>
      </c>
      <c r="Z48" s="2" t="str">
        <f t="shared" ca="1" si="25"/>
        <v>Concluída</v>
      </c>
      <c r="AA48" s="8">
        <f t="shared" ca="1" si="26"/>
        <v>1</v>
      </c>
      <c r="AB48" s="2">
        <f t="shared" ca="1" si="27"/>
        <v>25</v>
      </c>
      <c r="AC48" s="2">
        <f t="shared" ca="1" si="28"/>
        <v>10</v>
      </c>
    </row>
    <row r="49" spans="1:29" x14ac:dyDescent="0.25">
      <c r="A49" s="14" t="str">
        <f t="shared" si="0"/>
        <v>VND-00049</v>
      </c>
      <c r="B49" s="5">
        <f t="shared" ca="1" si="1"/>
        <v>45408</v>
      </c>
      <c r="C49" s="2">
        <f t="shared" ca="1" si="2"/>
        <v>2024</v>
      </c>
      <c r="D49" s="2" t="str">
        <f t="shared" ca="1" si="3"/>
        <v>abril</v>
      </c>
      <c r="E49" s="2" t="str">
        <f t="shared" ca="1" si="4"/>
        <v>2024/04</v>
      </c>
      <c r="F49" s="14" t="str">
        <f t="shared" ca="1" si="5"/>
        <v>CLI-1874</v>
      </c>
      <c r="G49" s="2" t="str">
        <f t="shared" ca="1" si="6"/>
        <v>Juliana</v>
      </c>
      <c r="H49" s="2" t="str">
        <f t="shared" ca="1" si="7"/>
        <v>Recorrente</v>
      </c>
      <c r="I49" s="2" t="str">
        <f t="shared" ca="1" si="8"/>
        <v>Carla</v>
      </c>
      <c r="J49" s="14" t="str">
        <f t="shared" ca="1" si="9"/>
        <v>VCL-7313</v>
      </c>
      <c r="K49" s="2" t="str">
        <f t="shared" ca="1" si="10"/>
        <v>Onix</v>
      </c>
      <c r="L49" s="2" t="str">
        <f t="shared" ca="1" si="11"/>
        <v>Chevrolet</v>
      </c>
      <c r="M49" s="2" t="str">
        <f t="shared" ca="1" si="12"/>
        <v>Popular</v>
      </c>
      <c r="N49" s="2">
        <f t="shared" ca="1" si="13"/>
        <v>2020</v>
      </c>
      <c r="O49" s="2" t="str">
        <f t="shared" ca="1" si="14"/>
        <v>Loja</v>
      </c>
      <c r="P49" s="2" t="str">
        <f t="shared" ca="1" si="15"/>
        <v>Sul</v>
      </c>
      <c r="Q49" s="2" t="str">
        <f t="shared" ca="1" si="16"/>
        <v>PR</v>
      </c>
      <c r="R49" s="2" t="str">
        <f t="shared" ca="1" si="17"/>
        <v>Londrina</v>
      </c>
      <c r="S49" s="8">
        <f t="shared" ca="1" si="18"/>
        <v>9</v>
      </c>
      <c r="T49" s="10">
        <f t="shared" ca="1" si="19"/>
        <v>166379</v>
      </c>
      <c r="U49" s="10">
        <f t="shared" ca="1" si="20"/>
        <v>138094.57</v>
      </c>
      <c r="V49" s="10">
        <f t="shared" ca="1" si="21"/>
        <v>1497411</v>
      </c>
      <c r="W49" s="10">
        <f t="shared" ca="1" si="22"/>
        <v>1242851.1300000001</v>
      </c>
      <c r="X49" s="10">
        <f t="shared" ca="1" si="23"/>
        <v>254559.86999999988</v>
      </c>
      <c r="Y49" s="12">
        <f t="shared" ca="1" si="24"/>
        <v>0.16999999999999993</v>
      </c>
      <c r="Z49" s="2" t="str">
        <f t="shared" ca="1" si="25"/>
        <v>Em negociação</v>
      </c>
      <c r="AA49" s="8">
        <f t="shared" ca="1" si="26"/>
        <v>23</v>
      </c>
      <c r="AB49" s="2">
        <f t="shared" ca="1" si="27"/>
        <v>10</v>
      </c>
      <c r="AC49" s="2">
        <f t="shared" ca="1" si="28"/>
        <v>10</v>
      </c>
    </row>
    <row r="50" spans="1:29" x14ac:dyDescent="0.25">
      <c r="A50" s="14" t="str">
        <f t="shared" si="0"/>
        <v>VND-00050</v>
      </c>
      <c r="B50" s="5">
        <f t="shared" ca="1" si="1"/>
        <v>45099</v>
      </c>
      <c r="C50" s="2">
        <f t="shared" ca="1" si="2"/>
        <v>2023</v>
      </c>
      <c r="D50" s="2" t="str">
        <f t="shared" ca="1" si="3"/>
        <v>junho</v>
      </c>
      <c r="E50" s="2" t="str">
        <f t="shared" ca="1" si="4"/>
        <v>2023/06</v>
      </c>
      <c r="F50" s="14" t="str">
        <f t="shared" ca="1" si="5"/>
        <v>CLI-5348</v>
      </c>
      <c r="G50" s="2" t="str">
        <f t="shared" ca="1" si="6"/>
        <v>Carlos</v>
      </c>
      <c r="H50" s="2" t="str">
        <f t="shared" ca="1" si="7"/>
        <v>Novo</v>
      </c>
      <c r="I50" s="2" t="str">
        <f t="shared" ca="1" si="8"/>
        <v>Felipe</v>
      </c>
      <c r="J50" s="14" t="str">
        <f t="shared" ca="1" si="9"/>
        <v>VCL-4244</v>
      </c>
      <c r="K50" s="2" t="str">
        <f t="shared" ca="1" si="10"/>
        <v>Civic</v>
      </c>
      <c r="L50" s="2" t="str">
        <f t="shared" ca="1" si="11"/>
        <v>Honda</v>
      </c>
      <c r="M50" s="2" t="str">
        <f t="shared" ca="1" si="12"/>
        <v>SUV</v>
      </c>
      <c r="N50" s="2">
        <f t="shared" ca="1" si="13"/>
        <v>2018</v>
      </c>
      <c r="O50" s="2" t="str">
        <f t="shared" ca="1" si="14"/>
        <v>Loja</v>
      </c>
      <c r="P50" s="2" t="str">
        <f t="shared" ca="1" si="15"/>
        <v>Norte</v>
      </c>
      <c r="Q50" s="2" t="str">
        <f t="shared" ca="1" si="16"/>
        <v>PA</v>
      </c>
      <c r="R50" s="2" t="str">
        <f t="shared" ca="1" si="17"/>
        <v>Ananindeua</v>
      </c>
      <c r="S50" s="8">
        <f t="shared" ca="1" si="18"/>
        <v>4</v>
      </c>
      <c r="T50" s="10">
        <f t="shared" ca="1" si="19"/>
        <v>159555</v>
      </c>
      <c r="U50" s="10">
        <f t="shared" ca="1" si="20"/>
        <v>132430.65</v>
      </c>
      <c r="V50" s="10">
        <f t="shared" ca="1" si="21"/>
        <v>638220</v>
      </c>
      <c r="W50" s="10">
        <f t="shared" ca="1" si="22"/>
        <v>529722.6</v>
      </c>
      <c r="X50" s="10">
        <f t="shared" ca="1" si="23"/>
        <v>108497.40000000002</v>
      </c>
      <c r="Y50" s="12">
        <f t="shared" ca="1" si="24"/>
        <v>0.17000000000000004</v>
      </c>
      <c r="Z50" s="2" t="str">
        <f t="shared" ca="1" si="25"/>
        <v>Em negociação</v>
      </c>
      <c r="AA50" s="8">
        <f t="shared" ca="1" si="26"/>
        <v>27</v>
      </c>
      <c r="AB50" s="2">
        <f t="shared" ca="1" si="27"/>
        <v>20</v>
      </c>
      <c r="AC50" s="2">
        <f t="shared" ca="1" si="28"/>
        <v>7</v>
      </c>
    </row>
    <row r="51" spans="1:29" x14ac:dyDescent="0.25">
      <c r="A51" s="14" t="str">
        <f t="shared" si="0"/>
        <v>VND-00051</v>
      </c>
      <c r="B51" s="5">
        <f t="shared" ca="1" si="1"/>
        <v>45431</v>
      </c>
      <c r="C51" s="2">
        <f t="shared" ca="1" si="2"/>
        <v>2024</v>
      </c>
      <c r="D51" s="2" t="str">
        <f t="shared" ca="1" si="3"/>
        <v>maio</v>
      </c>
      <c r="E51" s="2" t="str">
        <f t="shared" ca="1" si="4"/>
        <v>2024/05</v>
      </c>
      <c r="F51" s="14" t="str">
        <f t="shared" ca="1" si="5"/>
        <v>CLI-6001</v>
      </c>
      <c r="G51" s="2" t="str">
        <f t="shared" ca="1" si="6"/>
        <v>Carlos</v>
      </c>
      <c r="H51" s="2" t="str">
        <f t="shared" ca="1" si="7"/>
        <v>Novo</v>
      </c>
      <c r="I51" s="2" t="str">
        <f t="shared" ca="1" si="8"/>
        <v>Amanda</v>
      </c>
      <c r="J51" s="14" t="str">
        <f t="shared" ca="1" si="9"/>
        <v>VCL-1733</v>
      </c>
      <c r="K51" s="2" t="str">
        <f t="shared" ca="1" si="10"/>
        <v>Compass</v>
      </c>
      <c r="L51" s="2" t="str">
        <f t="shared" ca="1" si="11"/>
        <v>Jeep</v>
      </c>
      <c r="M51" s="2" t="str">
        <f t="shared" ca="1" si="12"/>
        <v>SUV</v>
      </c>
      <c r="N51" s="2">
        <f t="shared" ca="1" si="13"/>
        <v>2024</v>
      </c>
      <c r="O51" s="2" t="str">
        <f t="shared" ca="1" si="14"/>
        <v>Loja</v>
      </c>
      <c r="P51" s="2" t="str">
        <f t="shared" ca="1" si="15"/>
        <v>Norte</v>
      </c>
      <c r="Q51" s="2" t="str">
        <f t="shared" ca="1" si="16"/>
        <v>PA</v>
      </c>
      <c r="R51" s="2" t="str">
        <f t="shared" ca="1" si="17"/>
        <v>Marabá</v>
      </c>
      <c r="S51" s="8">
        <f t="shared" ca="1" si="18"/>
        <v>3</v>
      </c>
      <c r="T51" s="10">
        <f t="shared" ca="1" si="19"/>
        <v>211007</v>
      </c>
      <c r="U51" s="10">
        <f t="shared" ca="1" si="20"/>
        <v>168805.6</v>
      </c>
      <c r="V51" s="10">
        <f t="shared" ca="1" si="21"/>
        <v>633021</v>
      </c>
      <c r="W51" s="10">
        <f t="shared" ca="1" si="22"/>
        <v>506416.80000000005</v>
      </c>
      <c r="X51" s="10">
        <f t="shared" ca="1" si="23"/>
        <v>126604.19999999995</v>
      </c>
      <c r="Y51" s="12">
        <f t="shared" ca="1" si="24"/>
        <v>0.19999999999999993</v>
      </c>
      <c r="Z51" s="2" t="str">
        <f t="shared" ca="1" si="25"/>
        <v>Concluída</v>
      </c>
      <c r="AA51" s="8">
        <f t="shared" ca="1" si="26"/>
        <v>27</v>
      </c>
      <c r="AB51" s="2">
        <f t="shared" ca="1" si="27"/>
        <v>15</v>
      </c>
      <c r="AC51" s="2">
        <f t="shared" ca="1" si="28"/>
        <v>7</v>
      </c>
    </row>
    <row r="52" spans="1:29" x14ac:dyDescent="0.25">
      <c r="A52" s="14" t="str">
        <f t="shared" si="0"/>
        <v>VND-00052</v>
      </c>
      <c r="B52" s="5">
        <f t="shared" ca="1" si="1"/>
        <v>45209</v>
      </c>
      <c r="C52" s="2">
        <f t="shared" ca="1" si="2"/>
        <v>2023</v>
      </c>
      <c r="D52" s="2" t="str">
        <f t="shared" ca="1" si="3"/>
        <v>outubro</v>
      </c>
      <c r="E52" s="2" t="str">
        <f t="shared" ca="1" si="4"/>
        <v>2023/10</v>
      </c>
      <c r="F52" s="14" t="str">
        <f t="shared" ca="1" si="5"/>
        <v>CLI-5201</v>
      </c>
      <c r="G52" s="2" t="str">
        <f t="shared" ca="1" si="6"/>
        <v>Rafael</v>
      </c>
      <c r="H52" s="2" t="str">
        <f t="shared" ca="1" si="7"/>
        <v>Recorrente</v>
      </c>
      <c r="I52" s="2" t="str">
        <f t="shared" ca="1" si="8"/>
        <v>Fernanda</v>
      </c>
      <c r="J52" s="14" t="str">
        <f t="shared" ca="1" si="9"/>
        <v>VCL-6424</v>
      </c>
      <c r="K52" s="2" t="str">
        <f t="shared" ca="1" si="10"/>
        <v>Corolla</v>
      </c>
      <c r="L52" s="2" t="str">
        <f t="shared" ca="1" si="11"/>
        <v>Toyota</v>
      </c>
      <c r="M52" s="2" t="str">
        <f t="shared" ca="1" si="12"/>
        <v>SUV</v>
      </c>
      <c r="N52" s="2">
        <f t="shared" ca="1" si="13"/>
        <v>2016</v>
      </c>
      <c r="O52" s="2" t="str">
        <f t="shared" ca="1" si="14"/>
        <v>Loja</v>
      </c>
      <c r="P52" s="2" t="str">
        <f t="shared" ca="1" si="15"/>
        <v>Nordeste</v>
      </c>
      <c r="Q52" s="2" t="str">
        <f t="shared" ca="1" si="16"/>
        <v>BA</v>
      </c>
      <c r="R52" s="2" t="str">
        <f t="shared" ca="1" si="17"/>
        <v>Vitória da Conquista</v>
      </c>
      <c r="S52" s="8">
        <f t="shared" ca="1" si="18"/>
        <v>4</v>
      </c>
      <c r="T52" s="10">
        <f t="shared" ca="1" si="19"/>
        <v>129798</v>
      </c>
      <c r="U52" s="10">
        <f t="shared" ca="1" si="20"/>
        <v>109030.31999999999</v>
      </c>
      <c r="V52" s="10">
        <f t="shared" ca="1" si="21"/>
        <v>519192</v>
      </c>
      <c r="W52" s="10">
        <f t="shared" ca="1" si="22"/>
        <v>436121.27999999997</v>
      </c>
      <c r="X52" s="10">
        <f t="shared" ca="1" si="23"/>
        <v>83070.72000000003</v>
      </c>
      <c r="Y52" s="12">
        <f t="shared" ca="1" si="24"/>
        <v>0.16000000000000006</v>
      </c>
      <c r="Z52" s="2" t="str">
        <f t="shared" ca="1" si="25"/>
        <v>Em negociação</v>
      </c>
      <c r="AA52" s="8">
        <f t="shared" ca="1" si="26"/>
        <v>26</v>
      </c>
      <c r="AB52" s="2">
        <f t="shared" ca="1" si="27"/>
        <v>12</v>
      </c>
      <c r="AC52" s="2">
        <f t="shared" ca="1" si="28"/>
        <v>7</v>
      </c>
    </row>
    <row r="53" spans="1:29" x14ac:dyDescent="0.25">
      <c r="A53" s="14" t="str">
        <f t="shared" si="0"/>
        <v>VND-00053</v>
      </c>
      <c r="B53" s="5">
        <f t="shared" ca="1" si="1"/>
        <v>45308</v>
      </c>
      <c r="C53" s="2">
        <f t="shared" ca="1" si="2"/>
        <v>2024</v>
      </c>
      <c r="D53" s="2" t="str">
        <f t="shared" ca="1" si="3"/>
        <v>janeiro</v>
      </c>
      <c r="E53" s="2" t="str">
        <f t="shared" ca="1" si="4"/>
        <v>2024/01</v>
      </c>
      <c r="F53" s="14" t="str">
        <f t="shared" ca="1" si="5"/>
        <v>CLI-3434</v>
      </c>
      <c r="G53" s="2" t="str">
        <f t="shared" ca="1" si="6"/>
        <v>João</v>
      </c>
      <c r="H53" s="2" t="str">
        <f t="shared" ca="1" si="7"/>
        <v>Novo</v>
      </c>
      <c r="I53" s="2" t="str">
        <f t="shared" ca="1" si="8"/>
        <v>Larissa</v>
      </c>
      <c r="J53" s="14" t="str">
        <f t="shared" ca="1" si="9"/>
        <v>VCL-3691</v>
      </c>
      <c r="K53" s="2" t="str">
        <f t="shared" ca="1" si="10"/>
        <v>Compass</v>
      </c>
      <c r="L53" s="2" t="str">
        <f t="shared" ca="1" si="11"/>
        <v>Jeep</v>
      </c>
      <c r="M53" s="2" t="str">
        <f t="shared" ca="1" si="12"/>
        <v>SUV</v>
      </c>
      <c r="N53" s="2">
        <f t="shared" ca="1" si="13"/>
        <v>2022</v>
      </c>
      <c r="O53" s="2" t="str">
        <f t="shared" ca="1" si="14"/>
        <v>Online</v>
      </c>
      <c r="P53" s="2" t="str">
        <f t="shared" ca="1" si="15"/>
        <v>Centro-Oeste</v>
      </c>
      <c r="Q53" s="2" t="str">
        <f t="shared" ca="1" si="16"/>
        <v>DF</v>
      </c>
      <c r="R53" s="2" t="str">
        <f t="shared" ca="1" si="17"/>
        <v>Planaltina</v>
      </c>
      <c r="S53" s="8">
        <f t="shared" ca="1" si="18"/>
        <v>8</v>
      </c>
      <c r="T53" s="10">
        <f t="shared" ca="1" si="19"/>
        <v>92110</v>
      </c>
      <c r="U53" s="10">
        <f t="shared" ca="1" si="20"/>
        <v>70003.600000000006</v>
      </c>
      <c r="V53" s="10">
        <f t="shared" ca="1" si="21"/>
        <v>736880</v>
      </c>
      <c r="W53" s="10">
        <f t="shared" ca="1" si="22"/>
        <v>560028.80000000005</v>
      </c>
      <c r="X53" s="10">
        <f t="shared" ca="1" si="23"/>
        <v>176851.19999999995</v>
      </c>
      <c r="Y53" s="12">
        <f t="shared" ca="1" si="24"/>
        <v>0.23999999999999994</v>
      </c>
      <c r="Z53" s="2" t="str">
        <f t="shared" ca="1" si="25"/>
        <v>Cancelada</v>
      </c>
      <c r="AA53" s="8">
        <f t="shared" ca="1" si="26"/>
        <v>4</v>
      </c>
      <c r="AB53" s="2">
        <f t="shared" ca="1" si="27"/>
        <v>11</v>
      </c>
      <c r="AC53" s="2">
        <f t="shared" ca="1" si="28"/>
        <v>7</v>
      </c>
    </row>
    <row r="54" spans="1:29" x14ac:dyDescent="0.25">
      <c r="A54" s="14" t="str">
        <f t="shared" si="0"/>
        <v>VND-00054</v>
      </c>
      <c r="B54" s="5">
        <f t="shared" ca="1" si="1"/>
        <v>45569</v>
      </c>
      <c r="C54" s="2">
        <f t="shared" ca="1" si="2"/>
        <v>2024</v>
      </c>
      <c r="D54" s="2" t="str">
        <f t="shared" ca="1" si="3"/>
        <v>outubro</v>
      </c>
      <c r="E54" s="2" t="str">
        <f t="shared" ca="1" si="4"/>
        <v>2024/10</v>
      </c>
      <c r="F54" s="14" t="str">
        <f t="shared" ca="1" si="5"/>
        <v>CLI-2508</v>
      </c>
      <c r="G54" s="2" t="str">
        <f t="shared" ca="1" si="6"/>
        <v>Rafael</v>
      </c>
      <c r="H54" s="2" t="str">
        <f t="shared" ca="1" si="7"/>
        <v>Novo</v>
      </c>
      <c r="I54" s="2" t="str">
        <f t="shared" ca="1" si="8"/>
        <v>Diego</v>
      </c>
      <c r="J54" s="14" t="str">
        <f t="shared" ca="1" si="9"/>
        <v>VCL-9541</v>
      </c>
      <c r="K54" s="2" t="str">
        <f t="shared" ca="1" si="10"/>
        <v>Civic</v>
      </c>
      <c r="L54" s="2" t="str">
        <f t="shared" ca="1" si="11"/>
        <v>Honda</v>
      </c>
      <c r="M54" s="2" t="str">
        <f t="shared" ca="1" si="12"/>
        <v>SUV</v>
      </c>
      <c r="N54" s="2">
        <f t="shared" ca="1" si="13"/>
        <v>2023</v>
      </c>
      <c r="O54" s="2" t="str">
        <f t="shared" ca="1" si="14"/>
        <v>Loja</v>
      </c>
      <c r="P54" s="2" t="str">
        <f t="shared" ca="1" si="15"/>
        <v>Nordeste</v>
      </c>
      <c r="Q54" s="2" t="str">
        <f t="shared" ca="1" si="16"/>
        <v>CE</v>
      </c>
      <c r="R54" s="2" t="str">
        <f t="shared" ca="1" si="17"/>
        <v>Caucaia</v>
      </c>
      <c r="S54" s="8">
        <f t="shared" ca="1" si="18"/>
        <v>9</v>
      </c>
      <c r="T54" s="10">
        <f t="shared" ca="1" si="19"/>
        <v>208930</v>
      </c>
      <c r="U54" s="10">
        <f t="shared" ca="1" si="20"/>
        <v>152518.9</v>
      </c>
      <c r="V54" s="10">
        <f t="shared" ca="1" si="21"/>
        <v>1880370</v>
      </c>
      <c r="W54" s="10">
        <f t="shared" ca="1" si="22"/>
        <v>1372670.0999999999</v>
      </c>
      <c r="X54" s="10">
        <f t="shared" ca="1" si="23"/>
        <v>507699.90000000014</v>
      </c>
      <c r="Y54" s="12">
        <f t="shared" ca="1" si="24"/>
        <v>0.27000000000000007</v>
      </c>
      <c r="Z54" s="2" t="str">
        <f t="shared" ca="1" si="25"/>
        <v>Concluída</v>
      </c>
      <c r="AA54" s="8">
        <f t="shared" ca="1" si="26"/>
        <v>4</v>
      </c>
      <c r="AB54" s="2">
        <f t="shared" ca="1" si="27"/>
        <v>18</v>
      </c>
      <c r="AC54" s="2">
        <f t="shared" ca="1" si="28"/>
        <v>7</v>
      </c>
    </row>
    <row r="55" spans="1:29" x14ac:dyDescent="0.25">
      <c r="A55" s="14" t="str">
        <f t="shared" si="0"/>
        <v>VND-00055</v>
      </c>
      <c r="B55" s="5">
        <f t="shared" ca="1" si="1"/>
        <v>45934</v>
      </c>
      <c r="C55" s="2">
        <f t="shared" ca="1" si="2"/>
        <v>2025</v>
      </c>
      <c r="D55" s="2" t="str">
        <f t="shared" ca="1" si="3"/>
        <v>outubro</v>
      </c>
      <c r="E55" s="2" t="str">
        <f t="shared" ca="1" si="4"/>
        <v>2025/10</v>
      </c>
      <c r="F55" s="14" t="str">
        <f t="shared" ca="1" si="5"/>
        <v>CLI-1070</v>
      </c>
      <c r="G55" s="2" t="str">
        <f t="shared" ca="1" si="6"/>
        <v>Juliana</v>
      </c>
      <c r="H55" s="2" t="str">
        <f t="shared" ca="1" si="7"/>
        <v>Recorrente</v>
      </c>
      <c r="I55" s="2" t="str">
        <f t="shared" ca="1" si="8"/>
        <v>Pedro</v>
      </c>
      <c r="J55" s="14" t="str">
        <f t="shared" ca="1" si="9"/>
        <v>VCL-1585</v>
      </c>
      <c r="K55" s="2" t="str">
        <f t="shared" ca="1" si="10"/>
        <v>BMW X1</v>
      </c>
      <c r="L55" s="2" t="str">
        <f t="shared" ca="1" si="11"/>
        <v>BMW</v>
      </c>
      <c r="M55" s="2" t="str">
        <f t="shared" ca="1" si="12"/>
        <v>Luxo</v>
      </c>
      <c r="N55" s="2">
        <f t="shared" ca="1" si="13"/>
        <v>2024</v>
      </c>
      <c r="O55" s="2" t="str">
        <f t="shared" ca="1" si="14"/>
        <v>Loja</v>
      </c>
      <c r="P55" s="2" t="str">
        <f t="shared" ca="1" si="15"/>
        <v>Sudeste</v>
      </c>
      <c r="Q55" s="2" t="str">
        <f t="shared" ca="1" si="16"/>
        <v>MG</v>
      </c>
      <c r="R55" s="2" t="str">
        <f t="shared" ca="1" si="17"/>
        <v>Belo Horizonte</v>
      </c>
      <c r="S55" s="8">
        <f t="shared" ca="1" si="18"/>
        <v>5</v>
      </c>
      <c r="T55" s="10">
        <f t="shared" ca="1" si="19"/>
        <v>203799</v>
      </c>
      <c r="U55" s="10">
        <f t="shared" ca="1" si="20"/>
        <v>171191.16</v>
      </c>
      <c r="V55" s="10">
        <f t="shared" ca="1" si="21"/>
        <v>1018995</v>
      </c>
      <c r="W55" s="10">
        <f t="shared" ca="1" si="22"/>
        <v>855955.8</v>
      </c>
      <c r="X55" s="10">
        <f t="shared" ca="1" si="23"/>
        <v>163039.19999999995</v>
      </c>
      <c r="Y55" s="12">
        <f t="shared" ca="1" si="24"/>
        <v>0.15999999999999995</v>
      </c>
      <c r="Z55" s="2" t="str">
        <f t="shared" ca="1" si="25"/>
        <v>Em negociação</v>
      </c>
      <c r="AA55" s="8">
        <f t="shared" ca="1" si="26"/>
        <v>30</v>
      </c>
      <c r="AB55" s="2">
        <f t="shared" ca="1" si="27"/>
        <v>7</v>
      </c>
      <c r="AC55" s="2">
        <f t="shared" ca="1" si="28"/>
        <v>3</v>
      </c>
    </row>
    <row r="56" spans="1:29" x14ac:dyDescent="0.25">
      <c r="A56" s="14" t="str">
        <f t="shared" si="0"/>
        <v>VND-00056</v>
      </c>
      <c r="B56" s="5">
        <f t="shared" ca="1" si="1"/>
        <v>45843</v>
      </c>
      <c r="C56" s="2">
        <f t="shared" ca="1" si="2"/>
        <v>2025</v>
      </c>
      <c r="D56" s="2" t="str">
        <f t="shared" ca="1" si="3"/>
        <v>julho</v>
      </c>
      <c r="E56" s="2" t="str">
        <f t="shared" ca="1" si="4"/>
        <v>2025/07</v>
      </c>
      <c r="F56" s="14" t="str">
        <f t="shared" ca="1" si="5"/>
        <v>CLI-7599</v>
      </c>
      <c r="G56" s="2" t="str">
        <f t="shared" ca="1" si="6"/>
        <v>Maria</v>
      </c>
      <c r="H56" s="2" t="str">
        <f t="shared" ca="1" si="7"/>
        <v>Novo</v>
      </c>
      <c r="I56" s="2" t="str">
        <f t="shared" ca="1" si="8"/>
        <v>Ana</v>
      </c>
      <c r="J56" s="14" t="str">
        <f t="shared" ca="1" si="9"/>
        <v>VCL-1163</v>
      </c>
      <c r="K56" s="2" t="str">
        <f t="shared" ca="1" si="10"/>
        <v>Corolla</v>
      </c>
      <c r="L56" s="2" t="str">
        <f t="shared" ca="1" si="11"/>
        <v>Toyota</v>
      </c>
      <c r="M56" s="2" t="str">
        <f t="shared" ca="1" si="12"/>
        <v>SUV</v>
      </c>
      <c r="N56" s="2">
        <f t="shared" ca="1" si="13"/>
        <v>2023</v>
      </c>
      <c r="O56" s="2" t="str">
        <f t="shared" ca="1" si="14"/>
        <v>Loja</v>
      </c>
      <c r="P56" s="2" t="str">
        <f t="shared" ca="1" si="15"/>
        <v>Sudeste</v>
      </c>
      <c r="Q56" s="2" t="str">
        <f t="shared" ca="1" si="16"/>
        <v>MG</v>
      </c>
      <c r="R56" s="2" t="str">
        <f t="shared" ca="1" si="17"/>
        <v>Betim</v>
      </c>
      <c r="S56" s="8">
        <f t="shared" ca="1" si="18"/>
        <v>10</v>
      </c>
      <c r="T56" s="10">
        <f t="shared" ca="1" si="19"/>
        <v>212607</v>
      </c>
      <c r="U56" s="10">
        <f t="shared" ca="1" si="20"/>
        <v>178589.88</v>
      </c>
      <c r="V56" s="10">
        <f t="shared" ca="1" si="21"/>
        <v>2126070</v>
      </c>
      <c r="W56" s="10">
        <f t="shared" ca="1" si="22"/>
        <v>1785898.8</v>
      </c>
      <c r="X56" s="10">
        <f t="shared" ca="1" si="23"/>
        <v>340171.19999999995</v>
      </c>
      <c r="Y56" s="12">
        <f t="shared" ca="1" si="24"/>
        <v>0.15999999999999998</v>
      </c>
      <c r="Z56" s="2" t="str">
        <f t="shared" ca="1" si="25"/>
        <v>Em negociação</v>
      </c>
      <c r="AA56" s="8">
        <f t="shared" ca="1" si="26"/>
        <v>17</v>
      </c>
      <c r="AB56" s="2">
        <f t="shared" ca="1" si="27"/>
        <v>11</v>
      </c>
      <c r="AC56" s="2">
        <f t="shared" ca="1" si="28"/>
        <v>7</v>
      </c>
    </row>
    <row r="57" spans="1:29" x14ac:dyDescent="0.25">
      <c r="A57" s="14" t="str">
        <f t="shared" si="0"/>
        <v>VND-00057</v>
      </c>
      <c r="B57" s="5">
        <f t="shared" ca="1" si="1"/>
        <v>45248</v>
      </c>
      <c r="C57" s="2">
        <f t="shared" ca="1" si="2"/>
        <v>2023</v>
      </c>
      <c r="D57" s="2" t="str">
        <f t="shared" ca="1" si="3"/>
        <v>novembro</v>
      </c>
      <c r="E57" s="2" t="str">
        <f t="shared" ca="1" si="4"/>
        <v>2023/11</v>
      </c>
      <c r="F57" s="14" t="str">
        <f t="shared" ca="1" si="5"/>
        <v>CLI-9893</v>
      </c>
      <c r="G57" s="2" t="str">
        <f t="shared" ca="1" si="6"/>
        <v>Ana</v>
      </c>
      <c r="H57" s="2" t="str">
        <f t="shared" ca="1" si="7"/>
        <v>Recorrente</v>
      </c>
      <c r="I57" s="2" t="str">
        <f t="shared" ca="1" si="8"/>
        <v>Vinicius</v>
      </c>
      <c r="J57" s="14" t="str">
        <f t="shared" ca="1" si="9"/>
        <v>VCL-9027</v>
      </c>
      <c r="K57" s="2" t="str">
        <f t="shared" ca="1" si="10"/>
        <v>Civic</v>
      </c>
      <c r="L57" s="2" t="str">
        <f t="shared" ca="1" si="11"/>
        <v>Honda</v>
      </c>
      <c r="M57" s="2" t="str">
        <f t="shared" ca="1" si="12"/>
        <v>SUV</v>
      </c>
      <c r="N57" s="2">
        <f t="shared" ca="1" si="13"/>
        <v>2021</v>
      </c>
      <c r="O57" s="2" t="str">
        <f t="shared" ca="1" si="14"/>
        <v>Online</v>
      </c>
      <c r="P57" s="2" t="str">
        <f t="shared" ca="1" si="15"/>
        <v>Centro-Oeste</v>
      </c>
      <c r="Q57" s="2" t="str">
        <f t="shared" ca="1" si="16"/>
        <v>MT</v>
      </c>
      <c r="R57" s="2" t="str">
        <f t="shared" ca="1" si="17"/>
        <v>Tangará da Serra</v>
      </c>
      <c r="S57" s="8">
        <f t="shared" ca="1" si="18"/>
        <v>5</v>
      </c>
      <c r="T57" s="10">
        <f t="shared" ca="1" si="19"/>
        <v>83742</v>
      </c>
      <c r="U57" s="10">
        <f t="shared" ca="1" si="20"/>
        <v>64481.340000000004</v>
      </c>
      <c r="V57" s="10">
        <f t="shared" ca="1" si="21"/>
        <v>418710</v>
      </c>
      <c r="W57" s="10">
        <f t="shared" ca="1" si="22"/>
        <v>322406.7</v>
      </c>
      <c r="X57" s="10">
        <f t="shared" ca="1" si="23"/>
        <v>96303.299999999988</v>
      </c>
      <c r="Y57" s="12">
        <f t="shared" ca="1" si="24"/>
        <v>0.22999999999999998</v>
      </c>
      <c r="Z57" s="2" t="str">
        <f t="shared" ca="1" si="25"/>
        <v>Concluída</v>
      </c>
      <c r="AA57" s="8">
        <f t="shared" ca="1" si="26"/>
        <v>6</v>
      </c>
      <c r="AB57" s="2">
        <f t="shared" ca="1" si="27"/>
        <v>20</v>
      </c>
      <c r="AC57" s="2">
        <f t="shared" ca="1" si="28"/>
        <v>7</v>
      </c>
    </row>
    <row r="58" spans="1:29" x14ac:dyDescent="0.25">
      <c r="A58" s="14" t="str">
        <f t="shared" si="0"/>
        <v>VND-00058</v>
      </c>
      <c r="B58" s="5">
        <f t="shared" ca="1" si="1"/>
        <v>45885</v>
      </c>
      <c r="C58" s="2">
        <f t="shared" ca="1" si="2"/>
        <v>2025</v>
      </c>
      <c r="D58" s="2" t="str">
        <f t="shared" ca="1" si="3"/>
        <v>agosto</v>
      </c>
      <c r="E58" s="2" t="str">
        <f t="shared" ca="1" si="4"/>
        <v>2025/08</v>
      </c>
      <c r="F58" s="14" t="str">
        <f t="shared" ca="1" si="5"/>
        <v>CLI-5053</v>
      </c>
      <c r="G58" s="2" t="str">
        <f t="shared" ca="1" si="6"/>
        <v>Fernanda</v>
      </c>
      <c r="H58" s="2" t="str">
        <f t="shared" ca="1" si="7"/>
        <v>Recorrente</v>
      </c>
      <c r="I58" s="2" t="str">
        <f t="shared" ca="1" si="8"/>
        <v>Patricia</v>
      </c>
      <c r="J58" s="14" t="str">
        <f t="shared" ca="1" si="9"/>
        <v>VCL-9236</v>
      </c>
      <c r="K58" s="2" t="str">
        <f t="shared" ca="1" si="10"/>
        <v>Civic</v>
      </c>
      <c r="L58" s="2" t="str">
        <f t="shared" ca="1" si="11"/>
        <v>Honda</v>
      </c>
      <c r="M58" s="2" t="str">
        <f t="shared" ca="1" si="12"/>
        <v>SUV</v>
      </c>
      <c r="N58" s="2">
        <f t="shared" ca="1" si="13"/>
        <v>2024</v>
      </c>
      <c r="O58" s="2" t="str">
        <f t="shared" ca="1" si="14"/>
        <v>Loja</v>
      </c>
      <c r="P58" s="2" t="str">
        <f t="shared" ca="1" si="15"/>
        <v>Nordeste</v>
      </c>
      <c r="Q58" s="2" t="str">
        <f t="shared" ca="1" si="16"/>
        <v>BA</v>
      </c>
      <c r="R58" s="2" t="str">
        <f t="shared" ca="1" si="17"/>
        <v>Camaçari</v>
      </c>
      <c r="S58" s="8">
        <f t="shared" ca="1" si="18"/>
        <v>1</v>
      </c>
      <c r="T58" s="10">
        <f t="shared" ca="1" si="19"/>
        <v>110514</v>
      </c>
      <c r="U58" s="10">
        <f t="shared" ca="1" si="20"/>
        <v>90621.48</v>
      </c>
      <c r="V58" s="10">
        <f t="shared" ca="1" si="21"/>
        <v>110514</v>
      </c>
      <c r="W58" s="10">
        <f t="shared" ca="1" si="22"/>
        <v>90621.48</v>
      </c>
      <c r="X58" s="10">
        <f t="shared" ca="1" si="23"/>
        <v>19892.520000000004</v>
      </c>
      <c r="Y58" s="12">
        <f t="shared" ca="1" si="24"/>
        <v>0.18000000000000005</v>
      </c>
      <c r="Z58" s="2" t="str">
        <f t="shared" ca="1" si="25"/>
        <v>Concluída</v>
      </c>
      <c r="AA58" s="8">
        <f t="shared" ca="1" si="26"/>
        <v>11</v>
      </c>
      <c r="AB58" s="2">
        <f t="shared" ca="1" si="27"/>
        <v>12</v>
      </c>
      <c r="AC58" s="2">
        <f t="shared" ca="1" si="28"/>
        <v>7</v>
      </c>
    </row>
    <row r="59" spans="1:29" x14ac:dyDescent="0.25">
      <c r="A59" s="14" t="str">
        <f t="shared" si="0"/>
        <v>VND-00059</v>
      </c>
      <c r="B59" s="5">
        <f t="shared" ca="1" si="1"/>
        <v>44933</v>
      </c>
      <c r="C59" s="2">
        <f t="shared" ca="1" si="2"/>
        <v>2023</v>
      </c>
      <c r="D59" s="2" t="str">
        <f t="shared" ca="1" si="3"/>
        <v>janeiro</v>
      </c>
      <c r="E59" s="2" t="str">
        <f t="shared" ca="1" si="4"/>
        <v>2023/01</v>
      </c>
      <c r="F59" s="14" t="str">
        <f t="shared" ca="1" si="5"/>
        <v>CLI-7047</v>
      </c>
      <c r="G59" s="2" t="str">
        <f t="shared" ca="1" si="6"/>
        <v>João</v>
      </c>
      <c r="H59" s="2" t="str">
        <f t="shared" ca="1" si="7"/>
        <v>Novo</v>
      </c>
      <c r="I59" s="2" t="str">
        <f t="shared" ca="1" si="8"/>
        <v>Vinicius</v>
      </c>
      <c r="J59" s="14" t="str">
        <f t="shared" ca="1" si="9"/>
        <v>VCL-8757</v>
      </c>
      <c r="K59" s="2" t="str">
        <f t="shared" ca="1" si="10"/>
        <v>Compass</v>
      </c>
      <c r="L59" s="2" t="str">
        <f t="shared" ca="1" si="11"/>
        <v>Jeep</v>
      </c>
      <c r="M59" s="2" t="str">
        <f t="shared" ca="1" si="12"/>
        <v>SUV</v>
      </c>
      <c r="N59" s="2">
        <f t="shared" ca="1" si="13"/>
        <v>2023</v>
      </c>
      <c r="O59" s="2" t="str">
        <f t="shared" ca="1" si="14"/>
        <v>Loja</v>
      </c>
      <c r="P59" s="2" t="str">
        <f t="shared" ca="1" si="15"/>
        <v>Centro-Oeste</v>
      </c>
      <c r="Q59" s="2" t="str">
        <f t="shared" ca="1" si="16"/>
        <v>GO</v>
      </c>
      <c r="R59" s="2" t="str">
        <f t="shared" ca="1" si="17"/>
        <v>Goiânia</v>
      </c>
      <c r="S59" s="8">
        <f t="shared" ca="1" si="18"/>
        <v>1</v>
      </c>
      <c r="T59" s="10">
        <f t="shared" ca="1" si="19"/>
        <v>205614</v>
      </c>
      <c r="U59" s="10">
        <f t="shared" ca="1" si="20"/>
        <v>154210.5</v>
      </c>
      <c r="V59" s="10">
        <f t="shared" ca="1" si="21"/>
        <v>205614</v>
      </c>
      <c r="W59" s="10">
        <f t="shared" ca="1" si="22"/>
        <v>154210.5</v>
      </c>
      <c r="X59" s="10">
        <f t="shared" ca="1" si="23"/>
        <v>51403.5</v>
      </c>
      <c r="Y59" s="12">
        <f t="shared" ca="1" si="24"/>
        <v>0.25</v>
      </c>
      <c r="Z59" s="2" t="str">
        <f t="shared" ca="1" si="25"/>
        <v>Em negociação</v>
      </c>
      <c r="AA59" s="8">
        <f t="shared" ca="1" si="26"/>
        <v>16</v>
      </c>
      <c r="AB59" s="2">
        <f t="shared" ca="1" si="27"/>
        <v>18</v>
      </c>
      <c r="AC59" s="2">
        <f t="shared" ca="1" si="28"/>
        <v>7</v>
      </c>
    </row>
    <row r="60" spans="1:29" x14ac:dyDescent="0.25">
      <c r="A60" s="14" t="str">
        <f t="shared" si="0"/>
        <v>VND-00060</v>
      </c>
      <c r="B60" s="5">
        <f t="shared" ca="1" si="1"/>
        <v>44951</v>
      </c>
      <c r="C60" s="2">
        <f t="shared" ca="1" si="2"/>
        <v>2023</v>
      </c>
      <c r="D60" s="2" t="str">
        <f t="shared" ca="1" si="3"/>
        <v>janeiro</v>
      </c>
      <c r="E60" s="2" t="str">
        <f t="shared" ca="1" si="4"/>
        <v>2023/01</v>
      </c>
      <c r="F60" s="14" t="str">
        <f t="shared" ca="1" si="5"/>
        <v>CLI-1296</v>
      </c>
      <c r="G60" s="2" t="str">
        <f t="shared" ca="1" si="6"/>
        <v>Rafael</v>
      </c>
      <c r="H60" s="2" t="str">
        <f t="shared" ca="1" si="7"/>
        <v>Novo</v>
      </c>
      <c r="I60" s="2" t="str">
        <f t="shared" ca="1" si="8"/>
        <v>Vinicius</v>
      </c>
      <c r="J60" s="14" t="str">
        <f t="shared" ca="1" si="9"/>
        <v>VCL-1121</v>
      </c>
      <c r="K60" s="2" t="str">
        <f t="shared" ca="1" si="10"/>
        <v>Onix</v>
      </c>
      <c r="L60" s="2" t="str">
        <f t="shared" ca="1" si="11"/>
        <v>Chevrolet</v>
      </c>
      <c r="M60" s="2" t="str">
        <f t="shared" ca="1" si="12"/>
        <v>Popular</v>
      </c>
      <c r="N60" s="2">
        <f t="shared" ca="1" si="13"/>
        <v>2023</v>
      </c>
      <c r="O60" s="2" t="str">
        <f t="shared" ca="1" si="14"/>
        <v>Online</v>
      </c>
      <c r="P60" s="2" t="str">
        <f t="shared" ca="1" si="15"/>
        <v>Centro-Oeste</v>
      </c>
      <c r="Q60" s="2" t="str">
        <f t="shared" ca="1" si="16"/>
        <v>MT</v>
      </c>
      <c r="R60" s="2" t="str">
        <f t="shared" ca="1" si="17"/>
        <v>Cuiabá</v>
      </c>
      <c r="S60" s="8">
        <f t="shared" ca="1" si="18"/>
        <v>1</v>
      </c>
      <c r="T60" s="10">
        <f t="shared" ca="1" si="19"/>
        <v>157071</v>
      </c>
      <c r="U60" s="10">
        <f t="shared" ca="1" si="20"/>
        <v>111520.40999999999</v>
      </c>
      <c r="V60" s="10">
        <f t="shared" ca="1" si="21"/>
        <v>157071</v>
      </c>
      <c r="W60" s="10">
        <f t="shared" ca="1" si="22"/>
        <v>111520.40999999999</v>
      </c>
      <c r="X60" s="10">
        <f t="shared" ca="1" si="23"/>
        <v>45550.590000000011</v>
      </c>
      <c r="Y60" s="12">
        <f t="shared" ca="1" si="24"/>
        <v>0.29000000000000009</v>
      </c>
      <c r="Z60" s="2" t="str">
        <f t="shared" ca="1" si="25"/>
        <v>Em negociação</v>
      </c>
      <c r="AA60" s="8">
        <f t="shared" ca="1" si="26"/>
        <v>2</v>
      </c>
      <c r="AB60" s="2">
        <f t="shared" ca="1" si="27"/>
        <v>22</v>
      </c>
      <c r="AC60" s="2">
        <f t="shared" ca="1" si="28"/>
        <v>10</v>
      </c>
    </row>
    <row r="61" spans="1:29" x14ac:dyDescent="0.25">
      <c r="A61" s="14" t="str">
        <f t="shared" si="0"/>
        <v>VND-00061</v>
      </c>
      <c r="B61" s="5">
        <f t="shared" ca="1" si="1"/>
        <v>45309</v>
      </c>
      <c r="C61" s="2">
        <f t="shared" ca="1" si="2"/>
        <v>2024</v>
      </c>
      <c r="D61" s="2" t="str">
        <f t="shared" ca="1" si="3"/>
        <v>janeiro</v>
      </c>
      <c r="E61" s="2" t="str">
        <f t="shared" ca="1" si="4"/>
        <v>2024/01</v>
      </c>
      <c r="F61" s="14" t="str">
        <f t="shared" ca="1" si="5"/>
        <v>CLI-1199</v>
      </c>
      <c r="G61" s="2" t="str">
        <f t="shared" ca="1" si="6"/>
        <v>João</v>
      </c>
      <c r="H61" s="2" t="str">
        <f t="shared" ca="1" si="7"/>
        <v>Novo</v>
      </c>
      <c r="I61" s="2" t="str">
        <f t="shared" ca="1" si="8"/>
        <v>Rafael</v>
      </c>
      <c r="J61" s="14" t="str">
        <f t="shared" ca="1" si="9"/>
        <v>VCL-4431</v>
      </c>
      <c r="K61" s="2" t="str">
        <f t="shared" ca="1" si="10"/>
        <v>Onix</v>
      </c>
      <c r="L61" s="2" t="str">
        <f t="shared" ca="1" si="11"/>
        <v>Chevrolet</v>
      </c>
      <c r="M61" s="2" t="str">
        <f t="shared" ca="1" si="12"/>
        <v>Popular</v>
      </c>
      <c r="N61" s="2">
        <f t="shared" ca="1" si="13"/>
        <v>2023</v>
      </c>
      <c r="O61" s="2" t="str">
        <f t="shared" ca="1" si="14"/>
        <v>Loja</v>
      </c>
      <c r="P61" s="2" t="str">
        <f t="shared" ca="1" si="15"/>
        <v>Sul</v>
      </c>
      <c r="Q61" s="2" t="str">
        <f t="shared" ca="1" si="16"/>
        <v>SC</v>
      </c>
      <c r="R61" s="2" t="str">
        <f t="shared" ca="1" si="17"/>
        <v>Florianópolis</v>
      </c>
      <c r="S61" s="8">
        <f t="shared" ca="1" si="18"/>
        <v>8</v>
      </c>
      <c r="T61" s="10">
        <f t="shared" ca="1" si="19"/>
        <v>213730</v>
      </c>
      <c r="U61" s="10">
        <f t="shared" ca="1" si="20"/>
        <v>164572.1</v>
      </c>
      <c r="V61" s="10">
        <f t="shared" ca="1" si="21"/>
        <v>1709840</v>
      </c>
      <c r="W61" s="10">
        <f t="shared" ca="1" si="22"/>
        <v>1316576.8</v>
      </c>
      <c r="X61" s="10">
        <f t="shared" ca="1" si="23"/>
        <v>393263.19999999995</v>
      </c>
      <c r="Y61" s="12">
        <f t="shared" ca="1" si="24"/>
        <v>0.22999999999999998</v>
      </c>
      <c r="Z61" s="2" t="str">
        <f t="shared" ca="1" si="25"/>
        <v>Cancelada</v>
      </c>
      <c r="AA61" s="8">
        <f t="shared" ca="1" si="26"/>
        <v>16</v>
      </c>
      <c r="AB61" s="2">
        <f t="shared" ca="1" si="27"/>
        <v>16</v>
      </c>
      <c r="AC61" s="2">
        <f t="shared" ca="1" si="28"/>
        <v>10</v>
      </c>
    </row>
    <row r="62" spans="1:29" x14ac:dyDescent="0.25">
      <c r="A62" s="14" t="str">
        <f t="shared" si="0"/>
        <v>VND-00062</v>
      </c>
      <c r="B62" s="5">
        <f t="shared" ca="1" si="1"/>
        <v>45487</v>
      </c>
      <c r="C62" s="2">
        <f t="shared" ca="1" si="2"/>
        <v>2024</v>
      </c>
      <c r="D62" s="2" t="str">
        <f t="shared" ca="1" si="3"/>
        <v>julho</v>
      </c>
      <c r="E62" s="2" t="str">
        <f t="shared" ca="1" si="4"/>
        <v>2024/07</v>
      </c>
      <c r="F62" s="14" t="str">
        <f t="shared" ca="1" si="5"/>
        <v>CLI-7142</v>
      </c>
      <c r="G62" s="2" t="str">
        <f t="shared" ca="1" si="6"/>
        <v>Ana</v>
      </c>
      <c r="H62" s="2" t="str">
        <f t="shared" ca="1" si="7"/>
        <v>Recorrente</v>
      </c>
      <c r="I62" s="2" t="str">
        <f t="shared" ca="1" si="8"/>
        <v>Maria</v>
      </c>
      <c r="J62" s="14" t="str">
        <f t="shared" ca="1" si="9"/>
        <v>VCL-1590</v>
      </c>
      <c r="K62" s="2" t="str">
        <f t="shared" ca="1" si="10"/>
        <v>BMW X1</v>
      </c>
      <c r="L62" s="2" t="str">
        <f t="shared" ca="1" si="11"/>
        <v>BMW</v>
      </c>
      <c r="M62" s="2" t="str">
        <f t="shared" ca="1" si="12"/>
        <v>Luxo</v>
      </c>
      <c r="N62" s="2">
        <f t="shared" ca="1" si="13"/>
        <v>2019</v>
      </c>
      <c r="O62" s="2" t="str">
        <f t="shared" ca="1" si="14"/>
        <v>Online</v>
      </c>
      <c r="P62" s="2" t="str">
        <f t="shared" ca="1" si="15"/>
        <v>Sudeste</v>
      </c>
      <c r="Q62" s="2" t="str">
        <f t="shared" ca="1" si="16"/>
        <v>SP</v>
      </c>
      <c r="R62" s="2" t="str">
        <f t="shared" ca="1" si="17"/>
        <v>Santos</v>
      </c>
      <c r="S62" s="8">
        <f t="shared" ca="1" si="18"/>
        <v>7</v>
      </c>
      <c r="T62" s="10">
        <f t="shared" ca="1" si="19"/>
        <v>129372</v>
      </c>
      <c r="U62" s="10">
        <f t="shared" ca="1" si="20"/>
        <v>102203.88</v>
      </c>
      <c r="V62" s="10">
        <f t="shared" ca="1" si="21"/>
        <v>905604</v>
      </c>
      <c r="W62" s="10">
        <f t="shared" ca="1" si="22"/>
        <v>715427.16</v>
      </c>
      <c r="X62" s="10">
        <f t="shared" ca="1" si="23"/>
        <v>190176.83999999997</v>
      </c>
      <c r="Y62" s="12">
        <f t="shared" ca="1" si="24"/>
        <v>0.20999999999999996</v>
      </c>
      <c r="Z62" s="2" t="str">
        <f t="shared" ca="1" si="25"/>
        <v>Cancelada</v>
      </c>
      <c r="AA62" s="8">
        <f t="shared" ca="1" si="26"/>
        <v>22</v>
      </c>
      <c r="AB62" s="2">
        <f t="shared" ca="1" si="27"/>
        <v>7</v>
      </c>
      <c r="AC62" s="2">
        <f t="shared" ca="1" si="28"/>
        <v>3</v>
      </c>
    </row>
    <row r="63" spans="1:29" x14ac:dyDescent="0.25">
      <c r="A63" s="14" t="str">
        <f t="shared" si="0"/>
        <v>VND-00063</v>
      </c>
      <c r="B63" s="5">
        <f t="shared" ca="1" si="1"/>
        <v>45767</v>
      </c>
      <c r="C63" s="2">
        <f t="shared" ca="1" si="2"/>
        <v>2025</v>
      </c>
      <c r="D63" s="2" t="str">
        <f t="shared" ca="1" si="3"/>
        <v>abril</v>
      </c>
      <c r="E63" s="2" t="str">
        <f t="shared" ca="1" si="4"/>
        <v>2025/04</v>
      </c>
      <c r="F63" s="14" t="str">
        <f t="shared" ca="1" si="5"/>
        <v>CLI-2976</v>
      </c>
      <c r="G63" s="2" t="str">
        <f t="shared" ca="1" si="6"/>
        <v>João</v>
      </c>
      <c r="H63" s="2" t="str">
        <f t="shared" ca="1" si="7"/>
        <v>Novo</v>
      </c>
      <c r="I63" s="2" t="str">
        <f t="shared" ca="1" si="8"/>
        <v>Carla</v>
      </c>
      <c r="J63" s="14" t="str">
        <f t="shared" ca="1" si="9"/>
        <v>VCL-6600</v>
      </c>
      <c r="K63" s="2" t="str">
        <f t="shared" ca="1" si="10"/>
        <v>Compass</v>
      </c>
      <c r="L63" s="2" t="str">
        <f t="shared" ca="1" si="11"/>
        <v>Jeep</v>
      </c>
      <c r="M63" s="2" t="str">
        <f t="shared" ca="1" si="12"/>
        <v>SUV</v>
      </c>
      <c r="N63" s="2">
        <f t="shared" ca="1" si="13"/>
        <v>2022</v>
      </c>
      <c r="O63" s="2" t="str">
        <f t="shared" ca="1" si="14"/>
        <v>Loja</v>
      </c>
      <c r="P63" s="2" t="str">
        <f t="shared" ca="1" si="15"/>
        <v>Sul</v>
      </c>
      <c r="Q63" s="2" t="str">
        <f t="shared" ca="1" si="16"/>
        <v>RS</v>
      </c>
      <c r="R63" s="2" t="str">
        <f t="shared" ca="1" si="17"/>
        <v>Porto Alegre</v>
      </c>
      <c r="S63" s="8">
        <f t="shared" ca="1" si="18"/>
        <v>4</v>
      </c>
      <c r="T63" s="10">
        <f t="shared" ca="1" si="19"/>
        <v>163711</v>
      </c>
      <c r="U63" s="10">
        <f t="shared" ca="1" si="20"/>
        <v>135880.13</v>
      </c>
      <c r="V63" s="10">
        <f t="shared" ca="1" si="21"/>
        <v>654844</v>
      </c>
      <c r="W63" s="10">
        <f t="shared" ca="1" si="22"/>
        <v>543520.52</v>
      </c>
      <c r="X63" s="10">
        <f t="shared" ca="1" si="23"/>
        <v>111323.47999999998</v>
      </c>
      <c r="Y63" s="12">
        <f t="shared" ca="1" si="24"/>
        <v>0.16999999999999998</v>
      </c>
      <c r="Z63" s="2" t="str">
        <f t="shared" ca="1" si="25"/>
        <v>Cancelada</v>
      </c>
      <c r="AA63" s="8">
        <f t="shared" ca="1" si="26"/>
        <v>25</v>
      </c>
      <c r="AB63" s="2">
        <f t="shared" ca="1" si="27"/>
        <v>15</v>
      </c>
      <c r="AC63" s="2">
        <f t="shared" ca="1" si="28"/>
        <v>7</v>
      </c>
    </row>
    <row r="64" spans="1:29" x14ac:dyDescent="0.25">
      <c r="A64" s="14" t="str">
        <f t="shared" si="0"/>
        <v>VND-00064</v>
      </c>
      <c r="B64" s="5">
        <f t="shared" ca="1" si="1"/>
        <v>45125</v>
      </c>
      <c r="C64" s="2">
        <f t="shared" ca="1" si="2"/>
        <v>2023</v>
      </c>
      <c r="D64" s="2" t="str">
        <f t="shared" ca="1" si="3"/>
        <v>julho</v>
      </c>
      <c r="E64" s="2" t="str">
        <f t="shared" ca="1" si="4"/>
        <v>2023/07</v>
      </c>
      <c r="F64" s="14" t="str">
        <f t="shared" ca="1" si="5"/>
        <v>CLI-7612</v>
      </c>
      <c r="G64" s="2" t="str">
        <f t="shared" ca="1" si="6"/>
        <v>Ana</v>
      </c>
      <c r="H64" s="2" t="str">
        <f t="shared" ca="1" si="7"/>
        <v>Novo</v>
      </c>
      <c r="I64" s="2" t="str">
        <f t="shared" ca="1" si="8"/>
        <v>Camila</v>
      </c>
      <c r="J64" s="14" t="str">
        <f t="shared" ca="1" si="9"/>
        <v>VCL-2273</v>
      </c>
      <c r="K64" s="2" t="str">
        <f t="shared" ca="1" si="10"/>
        <v>HB20</v>
      </c>
      <c r="L64" s="2" t="str">
        <f t="shared" ca="1" si="11"/>
        <v>Hyundai</v>
      </c>
      <c r="M64" s="2" t="str">
        <f t="shared" ca="1" si="12"/>
        <v>Popular</v>
      </c>
      <c r="N64" s="2">
        <f t="shared" ca="1" si="13"/>
        <v>2022</v>
      </c>
      <c r="O64" s="2" t="str">
        <f t="shared" ca="1" si="14"/>
        <v>Loja</v>
      </c>
      <c r="P64" s="2" t="str">
        <f t="shared" ca="1" si="15"/>
        <v>Centro-Oeste</v>
      </c>
      <c r="Q64" s="2" t="str">
        <f t="shared" ca="1" si="16"/>
        <v>MT</v>
      </c>
      <c r="R64" s="2" t="str">
        <f t="shared" ca="1" si="17"/>
        <v>Sinop</v>
      </c>
      <c r="S64" s="8">
        <f t="shared" ca="1" si="18"/>
        <v>4</v>
      </c>
      <c r="T64" s="10">
        <f t="shared" ca="1" si="19"/>
        <v>219303</v>
      </c>
      <c r="U64" s="10">
        <f t="shared" ca="1" si="20"/>
        <v>164477.25</v>
      </c>
      <c r="V64" s="10">
        <f t="shared" ca="1" si="21"/>
        <v>877212</v>
      </c>
      <c r="W64" s="10">
        <f t="shared" ca="1" si="22"/>
        <v>657909</v>
      </c>
      <c r="X64" s="10">
        <f t="shared" ca="1" si="23"/>
        <v>219303</v>
      </c>
      <c r="Y64" s="12">
        <f t="shared" ca="1" si="24"/>
        <v>0.25</v>
      </c>
      <c r="Z64" s="2" t="str">
        <f t="shared" ca="1" si="25"/>
        <v>Cancelada</v>
      </c>
      <c r="AA64" s="8">
        <f t="shared" ca="1" si="26"/>
        <v>20</v>
      </c>
      <c r="AB64" s="2">
        <f t="shared" ca="1" si="27"/>
        <v>15</v>
      </c>
      <c r="AC64" s="2">
        <f t="shared" ca="1" si="28"/>
        <v>10</v>
      </c>
    </row>
    <row r="65" spans="1:29" x14ac:dyDescent="0.25">
      <c r="A65" s="14" t="str">
        <f t="shared" si="0"/>
        <v>VND-00065</v>
      </c>
      <c r="B65" s="5">
        <f t="shared" ca="1" si="1"/>
        <v>45471</v>
      </c>
      <c r="C65" s="2">
        <f t="shared" ca="1" si="2"/>
        <v>2024</v>
      </c>
      <c r="D65" s="2" t="str">
        <f t="shared" ca="1" si="3"/>
        <v>junho</v>
      </c>
      <c r="E65" s="2" t="str">
        <f t="shared" ca="1" si="4"/>
        <v>2024/06</v>
      </c>
      <c r="F65" s="14" t="str">
        <f t="shared" ca="1" si="5"/>
        <v>CLI-2846</v>
      </c>
      <c r="G65" s="2" t="str">
        <f t="shared" ca="1" si="6"/>
        <v>Ana</v>
      </c>
      <c r="H65" s="2" t="str">
        <f t="shared" ca="1" si="7"/>
        <v>Recorrente</v>
      </c>
      <c r="I65" s="2" t="str">
        <f t="shared" ca="1" si="8"/>
        <v>Lucas</v>
      </c>
      <c r="J65" s="14" t="str">
        <f t="shared" ca="1" si="9"/>
        <v>VCL-1025</v>
      </c>
      <c r="K65" s="2" t="str">
        <f t="shared" ca="1" si="10"/>
        <v>Civic</v>
      </c>
      <c r="L65" s="2" t="str">
        <f t="shared" ca="1" si="11"/>
        <v>Honda</v>
      </c>
      <c r="M65" s="2" t="str">
        <f t="shared" ca="1" si="12"/>
        <v>SUV</v>
      </c>
      <c r="N65" s="2">
        <f t="shared" ca="1" si="13"/>
        <v>2022</v>
      </c>
      <c r="O65" s="2" t="str">
        <f t="shared" ca="1" si="14"/>
        <v>Online</v>
      </c>
      <c r="P65" s="2" t="str">
        <f t="shared" ca="1" si="15"/>
        <v>Sudeste</v>
      </c>
      <c r="Q65" s="2" t="str">
        <f t="shared" ca="1" si="16"/>
        <v>RJ</v>
      </c>
      <c r="R65" s="2" t="str">
        <f t="shared" ca="1" si="17"/>
        <v>Petrópolis</v>
      </c>
      <c r="S65" s="8">
        <f t="shared" ca="1" si="18"/>
        <v>7</v>
      </c>
      <c r="T65" s="10">
        <f t="shared" ca="1" si="19"/>
        <v>133995</v>
      </c>
      <c r="U65" s="10">
        <f t="shared" ca="1" si="20"/>
        <v>96476.4</v>
      </c>
      <c r="V65" s="10">
        <f t="shared" ca="1" si="21"/>
        <v>937965</v>
      </c>
      <c r="W65" s="10">
        <f t="shared" ca="1" si="22"/>
        <v>675334.79999999993</v>
      </c>
      <c r="X65" s="10">
        <f t="shared" ca="1" si="23"/>
        <v>262630.20000000007</v>
      </c>
      <c r="Y65" s="12">
        <f t="shared" ca="1" si="24"/>
        <v>0.28000000000000008</v>
      </c>
      <c r="Z65" s="2" t="str">
        <f t="shared" ca="1" si="25"/>
        <v>Concluída</v>
      </c>
      <c r="AA65" s="8">
        <f t="shared" ca="1" si="26"/>
        <v>7</v>
      </c>
      <c r="AB65" s="2">
        <f t="shared" ca="1" si="27"/>
        <v>5</v>
      </c>
      <c r="AC65" s="2">
        <f t="shared" ca="1" si="28"/>
        <v>7</v>
      </c>
    </row>
    <row r="66" spans="1:29" x14ac:dyDescent="0.25">
      <c r="A66" s="14" t="str">
        <f t="shared" si="0"/>
        <v>VND-00066</v>
      </c>
      <c r="B66" s="5">
        <f t="shared" ca="1" si="1"/>
        <v>45012</v>
      </c>
      <c r="C66" s="2">
        <f t="shared" ca="1" si="2"/>
        <v>2023</v>
      </c>
      <c r="D66" s="2" t="str">
        <f t="shared" ca="1" si="3"/>
        <v>março</v>
      </c>
      <c r="E66" s="2" t="str">
        <f t="shared" ca="1" si="4"/>
        <v>2023/03</v>
      </c>
      <c r="F66" s="14" t="str">
        <f t="shared" ca="1" si="5"/>
        <v>CLI-4312</v>
      </c>
      <c r="G66" s="2" t="str">
        <f t="shared" ca="1" si="6"/>
        <v>Carlos</v>
      </c>
      <c r="H66" s="2" t="str">
        <f t="shared" ca="1" si="7"/>
        <v>Recorrente</v>
      </c>
      <c r="I66" s="2" t="str">
        <f t="shared" ca="1" si="8"/>
        <v>Vinicius</v>
      </c>
      <c r="J66" s="14" t="str">
        <f t="shared" ca="1" si="9"/>
        <v>VCL-3965</v>
      </c>
      <c r="K66" s="2" t="str">
        <f t="shared" ca="1" si="10"/>
        <v>Onix</v>
      </c>
      <c r="L66" s="2" t="str">
        <f t="shared" ca="1" si="11"/>
        <v>Chevrolet</v>
      </c>
      <c r="M66" s="2" t="str">
        <f t="shared" ca="1" si="12"/>
        <v>Popular</v>
      </c>
      <c r="N66" s="2">
        <f t="shared" ca="1" si="13"/>
        <v>2023</v>
      </c>
      <c r="O66" s="2" t="str">
        <f t="shared" ca="1" si="14"/>
        <v>Loja</v>
      </c>
      <c r="P66" s="2" t="str">
        <f t="shared" ca="1" si="15"/>
        <v>Centro-Oeste</v>
      </c>
      <c r="Q66" s="2" t="str">
        <f t="shared" ca="1" si="16"/>
        <v>GO</v>
      </c>
      <c r="R66" s="2" t="str">
        <f t="shared" ca="1" si="17"/>
        <v>Aparecida de Goiânia</v>
      </c>
      <c r="S66" s="8">
        <f t="shared" ca="1" si="18"/>
        <v>6</v>
      </c>
      <c r="T66" s="10">
        <f t="shared" ca="1" si="19"/>
        <v>151718</v>
      </c>
      <c r="U66" s="10">
        <f t="shared" ca="1" si="20"/>
        <v>110754.14</v>
      </c>
      <c r="V66" s="10">
        <f t="shared" ca="1" si="21"/>
        <v>910308</v>
      </c>
      <c r="W66" s="10">
        <f t="shared" ca="1" si="22"/>
        <v>664524.84</v>
      </c>
      <c r="X66" s="10">
        <f t="shared" ca="1" si="23"/>
        <v>245783.16000000003</v>
      </c>
      <c r="Y66" s="12">
        <f t="shared" ca="1" si="24"/>
        <v>0.27</v>
      </c>
      <c r="Z66" s="2" t="str">
        <f t="shared" ca="1" si="25"/>
        <v>Concluída</v>
      </c>
      <c r="AA66" s="8">
        <f t="shared" ca="1" si="26"/>
        <v>4</v>
      </c>
      <c r="AB66" s="2">
        <f t="shared" ca="1" si="27"/>
        <v>11</v>
      </c>
      <c r="AC66" s="2">
        <f t="shared" ca="1" si="28"/>
        <v>10</v>
      </c>
    </row>
    <row r="67" spans="1:29" x14ac:dyDescent="0.25">
      <c r="A67" s="14" t="str">
        <f t="shared" ref="A67:A130" si="29">"VND-"&amp;TEXT(ROW(A67),"00000")</f>
        <v>VND-00067</v>
      </c>
      <c r="B67" s="5">
        <f t="shared" ref="B67:B130" ca="1" si="30">DATE(RANDBETWEEN(2023,2025),RANDBETWEEN(1,12),RANDBETWEEN(1,28))</f>
        <v>45671</v>
      </c>
      <c r="C67" s="2">
        <f t="shared" ref="C67:C130" ca="1" si="31">YEAR(B67)</f>
        <v>2025</v>
      </c>
      <c r="D67" s="2" t="str">
        <f t="shared" ref="D67:D130" ca="1" si="32">TEXT(B67,"mmmm")</f>
        <v>janeiro</v>
      </c>
      <c r="E67" s="2" t="str">
        <f t="shared" ref="E67:E130" ca="1" si="33">YEAR(B67)&amp;"/"&amp;TEXT(MONTH(B67),"00")</f>
        <v>2025/01</v>
      </c>
      <c r="F67" s="14" t="str">
        <f t="shared" ref="F67:F130" ca="1" si="34">"CLI-"&amp;RANDBETWEEN(1000,9999)</f>
        <v>CLI-8385</v>
      </c>
      <c r="G67" s="2" t="str">
        <f t="shared" ref="G67:G130" ca="1" si="35">CHOOSE(RANDBETWEEN(1,8),
"João","Maria","Carlos","Ana",
"Lucas","Fernanda","Rafael","Juliana")</f>
        <v>João</v>
      </c>
      <c r="H67" s="2" t="str">
        <f t="shared" ref="H67:H130" ca="1" si="36">IF(RANDBETWEEN(1,10)&gt;6,"Recorrente","Novo")</f>
        <v>Novo</v>
      </c>
      <c r="I67" s="2" t="str">
        <f t="shared" ref="I67:I130" ca="1" si="37">IF(P67="Sudeste",CHOOSE(RANDBETWEEN(1,5),"João","Maria","Pedro","Ana","Lucas"),
IF(P67="Sul",CHOOSE(RANDBETWEEN(1,5),"Bruno","Carla","Rafael","Juliana","Marcos"),
IF(P67="Nordeste",CHOOSE(RANDBETWEEN(1,5),"Diego","Fernanda","Roberto","Patricia","André"),
IF(P67="Norte",CHOOSE(RANDBETWEEN(1,5),"Carlos","Amanda","Ricardo","Tatiane","Felipe"),
IF(P67="Centro-Oeste",CHOOSE(RANDBETWEEN(1,5),"Gustavo","Camila","Vinicius","Larissa","Eduardo"),
"")))))</f>
        <v>Gustavo</v>
      </c>
      <c r="J67" s="14" t="str">
        <f t="shared" ref="J67:J130" ca="1" si="38">"VCL-"&amp;RANDBETWEEN(1000,9999)</f>
        <v>VCL-2429</v>
      </c>
      <c r="K67" s="2" t="str">
        <f t="shared" ref="K67:K130" ca="1" si="39">CHOOSE(RANDBETWEEN(1,6),
"Onix","HB20","Corolla","Civic","Compass","BMW X1")</f>
        <v>HB20</v>
      </c>
      <c r="L67" s="2" t="str">
        <f t="shared" ref="L67:L130" ca="1" si="40">IF(OR(K67="Onix",K67="Tracker"),"Chevrolet",
IF(OR(K67="HB20"),"Hyundai",
IF(OR(K67="Corolla"),"Toyota",
IF(OR(K67="Civic"),"Honda",
IF(OR(K67="Compass"),"Jeep",
"BMW")))))</f>
        <v>Hyundai</v>
      </c>
      <c r="M67" s="2" t="str">
        <f t="shared" ref="M67:M130" ca="1" si="41">IF(OR(K67="Onix",K67="HB20"),"Popular",
IF(OR(K67="Corolla",K67="Civic"),"SUV",
IF(K67="Compass","SUV",
IF(K67="BMW X1","Luxo","Esportivo"))))</f>
        <v>Popular</v>
      </c>
      <c r="N67" s="2">
        <f t="shared" ref="N67:N130" ca="1" si="42">IF(RANDBETWEEN(1,10)&lt;=7,RANDBETWEEN(2020,2024),RANDBETWEEN(2015,2019))</f>
        <v>2021</v>
      </c>
      <c r="O67" s="2" t="str">
        <f t="shared" ref="O67:O130" ca="1" si="43">IF(RANDBETWEEN(1,10)&lt;=7,"Loja","Online")</f>
        <v>Loja</v>
      </c>
      <c r="P67" s="2" t="str">
        <f t="shared" ref="P67:P130" ca="1" si="44">CHOOSE(RANDBETWEEN(1,5),"Sudeste","Sul","Nordeste","Norte","Centro-Oeste")</f>
        <v>Centro-Oeste</v>
      </c>
      <c r="Q67" s="2" t="str">
        <f t="shared" ref="Q67:Q130" ca="1" si="45">IF(P67="Sudeste",CHOOSE(RANDBETWEEN(1,4),"SP","RJ","MG","ES"),
IF(P67="Sul",CHOOSE(RANDBETWEEN(1,3),"PR","SC","RS"),
IF(P67="Nordeste",CHOOSE(RANDBETWEEN(1,3),"BA","PE","CE"),
IF(P67="Centro-Oeste",CHOOSE(RANDBETWEEN(1,3),"GO","MT","DF"),
IF(P67="Norte",CHOOSE(RANDBETWEEN(1,2),"AM","PA"),
"GO")))))</f>
        <v>MT</v>
      </c>
      <c r="R67" s="2" t="str">
        <f t="shared" ref="R67:R130" ca="1" si="46">IF(Q67="SP",CHOOSE(RANDBETWEEN(1,5),"São Paulo","Campinas","Santos","Sorocaba","Ribeirão Preto"),
IF(Q67="RJ",CHOOSE(RANDBETWEEN(1,5),"Rio de Janeiro","Niterói","Duque de Caxias","Nova Iguaçu","Petrópolis"),
IF(Q67="MG",CHOOSE(RANDBETWEEN(1,5),"Belo Horizonte","Uberlândia","Contagem","Juiz de Fora","Betim"),
IF(Q67="ES",CHOOSE(RANDBETWEEN(1,5),"Vitória","Vila Velha","Serra","Cariacica","Linhares"),
IF(Q67="PR",CHOOSE(RANDBETWEEN(1,5),"Curitiba","Londrina","Maringá","Ponta Grossa","Cascavel"),
IF(Q67="SC",CHOOSE(RANDBETWEEN(1,5),"Florianópolis","Joinville","Blumenau","Itajaí","Chapecó"),
IF(Q67="RS",CHOOSE(RANDBETWEEN(1,5),"Porto Alegre","Caxias do Sul","Pelotas","Canoas","Santa Maria"),
IF(Q67="BA",CHOOSE(RANDBETWEEN(1,5),"Salvador","Feira de Santana","Vitória da Conquista","Camaçari","Ilhéus"),
IF(Q67="PE",CHOOSE(RANDBETWEEN(1,5),"Recife","Olinda","Jaboatão","Caruaru","Petrolina"),
IF(Q67="CE",CHOOSE(RANDBETWEEN(1,5),"Fortaleza","Caucaia","Juazeiro do Norte","Sobral","Maracanaú"),
IF(Q67="MT",CHOOSE(RANDBETWEEN(1,5),"Cuiabá","Várzea Grande","Rondonópolis","Sinop","Tangará da Serra"),
IF(Q67="DF",CHOOSE(RANDBETWEEN(1,5),"Brasília","Ceilândia","Taguatinga","Samambaia","Planaltina"),
IF(Q67="AM",CHOOSE(RANDBETWEEN(1,5),"Manaus","Parintins","Itacoatiara","Manacapuru","Coari"),
IF(Q67="PA",CHOOSE(RANDBETWEEN(1,5),"Belém","Ananindeua","Santarém","Marabá","Castanhal"),
IF(Q67="GO",CHOOSE(RANDBETWEEN(1,5),"Goiânia","Aparecida de Goiânia","Anápolis","Rio Verde","Luziânia"),
"")))))))))))))))</f>
        <v>Sinop</v>
      </c>
      <c r="S67" s="8">
        <f t="shared" ref="S67:S130" ca="1" si="47">RANDBETWEEN(1,10)</f>
        <v>7</v>
      </c>
      <c r="T67" s="10">
        <f t="shared" ref="T67:T130" ca="1" si="48">RANDBETWEEN(60000,250000)</f>
        <v>239697</v>
      </c>
      <c r="U67" s="10">
        <f t="shared" ref="U67:U130" ca="1" si="49">T67*(RANDBETWEEN(70,85)/100)</f>
        <v>182169.72</v>
      </c>
      <c r="V67" s="10">
        <f t="shared" ref="V67:V130" ca="1" si="50">S67*T67</f>
        <v>1677879</v>
      </c>
      <c r="W67" s="10">
        <f t="shared" ref="W67:W130" ca="1" si="51">S67*U67</f>
        <v>1275188.04</v>
      </c>
      <c r="X67" s="10">
        <f t="shared" ref="X67:X130" ca="1" si="52">V67-W67</f>
        <v>402690.95999999996</v>
      </c>
      <c r="Y67" s="12">
        <f t="shared" ref="Y67:Y130" ca="1" si="53">X67/V67</f>
        <v>0.24</v>
      </c>
      <c r="Z67" s="2" t="str">
        <f t="shared" ref="Z67:Z130" ca="1" si="54">CHOOSE(RANDBETWEEN(1,3),
"Concluída","Cancelada","Em negociação")</f>
        <v>Cancelada</v>
      </c>
      <c r="AA67" s="8">
        <f t="shared" ref="AA67:AA130" ca="1" si="55">RANDBETWEEN(1,30)</f>
        <v>10</v>
      </c>
      <c r="AB67" s="2">
        <f t="shared" ref="AB67:AB130" ca="1" si="56">IF(M67="Popular",RANDBETWEEN(10,30),
IF(M67="SUV",RANDBETWEEN(5,20),
IF(M67="Luxo",RANDBETWEEN(0,10),
RANDBETWEEN(2,15))))</f>
        <v>26</v>
      </c>
      <c r="AC67" s="2">
        <f t="shared" ref="AC67:AC130" ca="1" si="57">IF(M67="Popular",10,
IF(M67="SUV",7,
IF(M67="Luxo",3,5)))</f>
        <v>10</v>
      </c>
    </row>
    <row r="68" spans="1:29" x14ac:dyDescent="0.25">
      <c r="A68" s="14" t="str">
        <f t="shared" si="29"/>
        <v>VND-00068</v>
      </c>
      <c r="B68" s="5">
        <f t="shared" ca="1" si="30"/>
        <v>45284</v>
      </c>
      <c r="C68" s="2">
        <f t="shared" ca="1" si="31"/>
        <v>2023</v>
      </c>
      <c r="D68" s="2" t="str">
        <f t="shared" ca="1" si="32"/>
        <v>dezembro</v>
      </c>
      <c r="E68" s="2" t="str">
        <f t="shared" ca="1" si="33"/>
        <v>2023/12</v>
      </c>
      <c r="F68" s="14" t="str">
        <f t="shared" ca="1" si="34"/>
        <v>CLI-4735</v>
      </c>
      <c r="G68" s="2" t="str">
        <f t="shared" ca="1" si="35"/>
        <v>Carlos</v>
      </c>
      <c r="H68" s="2" t="str">
        <f t="shared" ca="1" si="36"/>
        <v>Novo</v>
      </c>
      <c r="I68" s="2" t="str">
        <f t="shared" ca="1" si="37"/>
        <v>Lucas</v>
      </c>
      <c r="J68" s="14" t="str">
        <f t="shared" ca="1" si="38"/>
        <v>VCL-7749</v>
      </c>
      <c r="K68" s="2" t="str">
        <f t="shared" ca="1" si="39"/>
        <v>BMW X1</v>
      </c>
      <c r="L68" s="2" t="str">
        <f t="shared" ca="1" si="40"/>
        <v>BMW</v>
      </c>
      <c r="M68" s="2" t="str">
        <f t="shared" ca="1" si="41"/>
        <v>Luxo</v>
      </c>
      <c r="N68" s="2">
        <f t="shared" ca="1" si="42"/>
        <v>2018</v>
      </c>
      <c r="O68" s="2" t="str">
        <f t="shared" ca="1" si="43"/>
        <v>Loja</v>
      </c>
      <c r="P68" s="2" t="str">
        <f t="shared" ca="1" si="44"/>
        <v>Sudeste</v>
      </c>
      <c r="Q68" s="2" t="str">
        <f t="shared" ca="1" si="45"/>
        <v>SP</v>
      </c>
      <c r="R68" s="2" t="str">
        <f t="shared" ca="1" si="46"/>
        <v>Santos</v>
      </c>
      <c r="S68" s="8">
        <f t="shared" ca="1" si="47"/>
        <v>4</v>
      </c>
      <c r="T68" s="10">
        <f t="shared" ca="1" si="48"/>
        <v>91245</v>
      </c>
      <c r="U68" s="10">
        <f t="shared" ca="1" si="49"/>
        <v>77558.25</v>
      </c>
      <c r="V68" s="10">
        <f t="shared" ca="1" si="50"/>
        <v>364980</v>
      </c>
      <c r="W68" s="10">
        <f t="shared" ca="1" si="51"/>
        <v>310233</v>
      </c>
      <c r="X68" s="10">
        <f t="shared" ca="1" si="52"/>
        <v>54747</v>
      </c>
      <c r="Y68" s="12">
        <f t="shared" ca="1" si="53"/>
        <v>0.15</v>
      </c>
      <c r="Z68" s="2" t="str">
        <f t="shared" ca="1" si="54"/>
        <v>Concluída</v>
      </c>
      <c r="AA68" s="8">
        <f t="shared" ca="1" si="55"/>
        <v>5</v>
      </c>
      <c r="AB68" s="2">
        <f t="shared" ca="1" si="56"/>
        <v>1</v>
      </c>
      <c r="AC68" s="2">
        <f t="shared" ca="1" si="57"/>
        <v>3</v>
      </c>
    </row>
    <row r="69" spans="1:29" x14ac:dyDescent="0.25">
      <c r="A69" s="14" t="str">
        <f t="shared" si="29"/>
        <v>VND-00069</v>
      </c>
      <c r="B69" s="5">
        <f t="shared" ca="1" si="30"/>
        <v>45029</v>
      </c>
      <c r="C69" s="2">
        <f t="shared" ca="1" si="31"/>
        <v>2023</v>
      </c>
      <c r="D69" s="2" t="str">
        <f t="shared" ca="1" si="32"/>
        <v>abril</v>
      </c>
      <c r="E69" s="2" t="str">
        <f t="shared" ca="1" si="33"/>
        <v>2023/04</v>
      </c>
      <c r="F69" s="14" t="str">
        <f t="shared" ca="1" si="34"/>
        <v>CLI-6160</v>
      </c>
      <c r="G69" s="2" t="str">
        <f t="shared" ca="1" si="35"/>
        <v>Maria</v>
      </c>
      <c r="H69" s="2" t="str">
        <f t="shared" ca="1" si="36"/>
        <v>Novo</v>
      </c>
      <c r="I69" s="2" t="str">
        <f t="shared" ca="1" si="37"/>
        <v>Amanda</v>
      </c>
      <c r="J69" s="14" t="str">
        <f t="shared" ca="1" si="38"/>
        <v>VCL-7957</v>
      </c>
      <c r="K69" s="2" t="str">
        <f t="shared" ca="1" si="39"/>
        <v>Corolla</v>
      </c>
      <c r="L69" s="2" t="str">
        <f t="shared" ca="1" si="40"/>
        <v>Toyota</v>
      </c>
      <c r="M69" s="2" t="str">
        <f t="shared" ca="1" si="41"/>
        <v>SUV</v>
      </c>
      <c r="N69" s="2">
        <f t="shared" ca="1" si="42"/>
        <v>2020</v>
      </c>
      <c r="O69" s="2" t="str">
        <f t="shared" ca="1" si="43"/>
        <v>Loja</v>
      </c>
      <c r="P69" s="2" t="str">
        <f t="shared" ca="1" si="44"/>
        <v>Norte</v>
      </c>
      <c r="Q69" s="2" t="str">
        <f t="shared" ca="1" si="45"/>
        <v>PA</v>
      </c>
      <c r="R69" s="2" t="str">
        <f t="shared" ca="1" si="46"/>
        <v>Santarém</v>
      </c>
      <c r="S69" s="8">
        <f t="shared" ca="1" si="47"/>
        <v>1</v>
      </c>
      <c r="T69" s="10">
        <f t="shared" ca="1" si="48"/>
        <v>161436</v>
      </c>
      <c r="U69" s="10">
        <f t="shared" ca="1" si="49"/>
        <v>127534.44</v>
      </c>
      <c r="V69" s="10">
        <f t="shared" ca="1" si="50"/>
        <v>161436</v>
      </c>
      <c r="W69" s="10">
        <f t="shared" ca="1" si="51"/>
        <v>127534.44</v>
      </c>
      <c r="X69" s="10">
        <f t="shared" ca="1" si="52"/>
        <v>33901.56</v>
      </c>
      <c r="Y69" s="12">
        <f t="shared" ca="1" si="53"/>
        <v>0.21</v>
      </c>
      <c r="Z69" s="2" t="str">
        <f t="shared" ca="1" si="54"/>
        <v>Concluída</v>
      </c>
      <c r="AA69" s="8">
        <f t="shared" ca="1" si="55"/>
        <v>22</v>
      </c>
      <c r="AB69" s="2">
        <f t="shared" ca="1" si="56"/>
        <v>10</v>
      </c>
      <c r="AC69" s="2">
        <f t="shared" ca="1" si="57"/>
        <v>7</v>
      </c>
    </row>
    <row r="70" spans="1:29" x14ac:dyDescent="0.25">
      <c r="A70" s="14" t="str">
        <f t="shared" si="29"/>
        <v>VND-00070</v>
      </c>
      <c r="B70" s="5">
        <f t="shared" ca="1" si="30"/>
        <v>44954</v>
      </c>
      <c r="C70" s="2">
        <f t="shared" ca="1" si="31"/>
        <v>2023</v>
      </c>
      <c r="D70" s="2" t="str">
        <f t="shared" ca="1" si="32"/>
        <v>janeiro</v>
      </c>
      <c r="E70" s="2" t="str">
        <f t="shared" ca="1" si="33"/>
        <v>2023/01</v>
      </c>
      <c r="F70" s="14" t="str">
        <f t="shared" ca="1" si="34"/>
        <v>CLI-8272</v>
      </c>
      <c r="G70" s="2" t="str">
        <f t="shared" ca="1" si="35"/>
        <v>Ana</v>
      </c>
      <c r="H70" s="2" t="str">
        <f t="shared" ca="1" si="36"/>
        <v>Recorrente</v>
      </c>
      <c r="I70" s="2" t="str">
        <f t="shared" ca="1" si="37"/>
        <v>Carla</v>
      </c>
      <c r="J70" s="14" t="str">
        <f t="shared" ca="1" si="38"/>
        <v>VCL-2075</v>
      </c>
      <c r="K70" s="2" t="str">
        <f t="shared" ca="1" si="39"/>
        <v>Compass</v>
      </c>
      <c r="L70" s="2" t="str">
        <f t="shared" ca="1" si="40"/>
        <v>Jeep</v>
      </c>
      <c r="M70" s="2" t="str">
        <f t="shared" ca="1" si="41"/>
        <v>SUV</v>
      </c>
      <c r="N70" s="2">
        <f t="shared" ca="1" si="42"/>
        <v>2017</v>
      </c>
      <c r="O70" s="2" t="str">
        <f t="shared" ca="1" si="43"/>
        <v>Loja</v>
      </c>
      <c r="P70" s="2" t="str">
        <f t="shared" ca="1" si="44"/>
        <v>Sul</v>
      </c>
      <c r="Q70" s="2" t="str">
        <f t="shared" ca="1" si="45"/>
        <v>RS</v>
      </c>
      <c r="R70" s="2" t="str">
        <f t="shared" ca="1" si="46"/>
        <v>Caxias do Sul</v>
      </c>
      <c r="S70" s="8">
        <f t="shared" ca="1" si="47"/>
        <v>6</v>
      </c>
      <c r="T70" s="10">
        <f t="shared" ca="1" si="48"/>
        <v>151431</v>
      </c>
      <c r="U70" s="10">
        <f t="shared" ca="1" si="49"/>
        <v>113573.25</v>
      </c>
      <c r="V70" s="10">
        <f t="shared" ca="1" si="50"/>
        <v>908586</v>
      </c>
      <c r="W70" s="10">
        <f t="shared" ca="1" si="51"/>
        <v>681439.5</v>
      </c>
      <c r="X70" s="10">
        <f t="shared" ca="1" si="52"/>
        <v>227146.5</v>
      </c>
      <c r="Y70" s="12">
        <f t="shared" ca="1" si="53"/>
        <v>0.25</v>
      </c>
      <c r="Z70" s="2" t="str">
        <f t="shared" ca="1" si="54"/>
        <v>Concluída</v>
      </c>
      <c r="AA70" s="8">
        <f t="shared" ca="1" si="55"/>
        <v>29</v>
      </c>
      <c r="AB70" s="2">
        <f t="shared" ca="1" si="56"/>
        <v>13</v>
      </c>
      <c r="AC70" s="2">
        <f t="shared" ca="1" si="57"/>
        <v>7</v>
      </c>
    </row>
    <row r="71" spans="1:29" x14ac:dyDescent="0.25">
      <c r="A71" s="14" t="str">
        <f t="shared" si="29"/>
        <v>VND-00071</v>
      </c>
      <c r="B71" s="5">
        <f t="shared" ca="1" si="30"/>
        <v>45703</v>
      </c>
      <c r="C71" s="2">
        <f t="shared" ca="1" si="31"/>
        <v>2025</v>
      </c>
      <c r="D71" s="2" t="str">
        <f t="shared" ca="1" si="32"/>
        <v>fevereiro</v>
      </c>
      <c r="E71" s="2" t="str">
        <f t="shared" ca="1" si="33"/>
        <v>2025/02</v>
      </c>
      <c r="F71" s="14" t="str">
        <f t="shared" ca="1" si="34"/>
        <v>CLI-7874</v>
      </c>
      <c r="G71" s="2" t="str">
        <f t="shared" ca="1" si="35"/>
        <v>João</v>
      </c>
      <c r="H71" s="2" t="str">
        <f t="shared" ca="1" si="36"/>
        <v>Novo</v>
      </c>
      <c r="I71" s="2" t="str">
        <f t="shared" ca="1" si="37"/>
        <v>Pedro</v>
      </c>
      <c r="J71" s="14" t="str">
        <f t="shared" ca="1" si="38"/>
        <v>VCL-5305</v>
      </c>
      <c r="K71" s="2" t="str">
        <f t="shared" ca="1" si="39"/>
        <v>Compass</v>
      </c>
      <c r="L71" s="2" t="str">
        <f t="shared" ca="1" si="40"/>
        <v>Jeep</v>
      </c>
      <c r="M71" s="2" t="str">
        <f t="shared" ca="1" si="41"/>
        <v>SUV</v>
      </c>
      <c r="N71" s="2">
        <f t="shared" ca="1" si="42"/>
        <v>2023</v>
      </c>
      <c r="O71" s="2" t="str">
        <f t="shared" ca="1" si="43"/>
        <v>Loja</v>
      </c>
      <c r="P71" s="2" t="str">
        <f t="shared" ca="1" si="44"/>
        <v>Sudeste</v>
      </c>
      <c r="Q71" s="2" t="str">
        <f t="shared" ca="1" si="45"/>
        <v>SP</v>
      </c>
      <c r="R71" s="2" t="str">
        <f t="shared" ca="1" si="46"/>
        <v>São Paulo</v>
      </c>
      <c r="S71" s="8">
        <f t="shared" ca="1" si="47"/>
        <v>1</v>
      </c>
      <c r="T71" s="10">
        <f t="shared" ca="1" si="48"/>
        <v>208697</v>
      </c>
      <c r="U71" s="10">
        <f t="shared" ca="1" si="49"/>
        <v>171131.53999999998</v>
      </c>
      <c r="V71" s="10">
        <f t="shared" ca="1" si="50"/>
        <v>208697</v>
      </c>
      <c r="W71" s="10">
        <f t="shared" ca="1" si="51"/>
        <v>171131.53999999998</v>
      </c>
      <c r="X71" s="10">
        <f t="shared" ca="1" si="52"/>
        <v>37565.460000000021</v>
      </c>
      <c r="Y71" s="12">
        <f t="shared" ca="1" si="53"/>
        <v>0.1800000000000001</v>
      </c>
      <c r="Z71" s="2" t="str">
        <f t="shared" ca="1" si="54"/>
        <v>Cancelada</v>
      </c>
      <c r="AA71" s="8">
        <f t="shared" ca="1" si="55"/>
        <v>23</v>
      </c>
      <c r="AB71" s="2">
        <f t="shared" ca="1" si="56"/>
        <v>15</v>
      </c>
      <c r="AC71" s="2">
        <f t="shared" ca="1" si="57"/>
        <v>7</v>
      </c>
    </row>
    <row r="72" spans="1:29" x14ac:dyDescent="0.25">
      <c r="A72" s="14" t="str">
        <f t="shared" si="29"/>
        <v>VND-00072</v>
      </c>
      <c r="B72" s="5">
        <f t="shared" ca="1" si="30"/>
        <v>45968</v>
      </c>
      <c r="C72" s="2">
        <f t="shared" ca="1" si="31"/>
        <v>2025</v>
      </c>
      <c r="D72" s="2" t="str">
        <f t="shared" ca="1" si="32"/>
        <v>novembro</v>
      </c>
      <c r="E72" s="2" t="str">
        <f t="shared" ca="1" si="33"/>
        <v>2025/11</v>
      </c>
      <c r="F72" s="14" t="str">
        <f t="shared" ca="1" si="34"/>
        <v>CLI-1297</v>
      </c>
      <c r="G72" s="2" t="str">
        <f t="shared" ca="1" si="35"/>
        <v>Rafael</v>
      </c>
      <c r="H72" s="2" t="str">
        <f t="shared" ca="1" si="36"/>
        <v>Novo</v>
      </c>
      <c r="I72" s="2" t="str">
        <f t="shared" ca="1" si="37"/>
        <v>Ricardo</v>
      </c>
      <c r="J72" s="14" t="str">
        <f t="shared" ca="1" si="38"/>
        <v>VCL-1351</v>
      </c>
      <c r="K72" s="2" t="str">
        <f t="shared" ca="1" si="39"/>
        <v>Civic</v>
      </c>
      <c r="L72" s="2" t="str">
        <f t="shared" ca="1" si="40"/>
        <v>Honda</v>
      </c>
      <c r="M72" s="2" t="str">
        <f t="shared" ca="1" si="41"/>
        <v>SUV</v>
      </c>
      <c r="N72" s="2">
        <f t="shared" ca="1" si="42"/>
        <v>2023</v>
      </c>
      <c r="O72" s="2" t="str">
        <f t="shared" ca="1" si="43"/>
        <v>Loja</v>
      </c>
      <c r="P72" s="2" t="str">
        <f t="shared" ca="1" si="44"/>
        <v>Norte</v>
      </c>
      <c r="Q72" s="2" t="str">
        <f t="shared" ca="1" si="45"/>
        <v>AM</v>
      </c>
      <c r="R72" s="2" t="str">
        <f t="shared" ca="1" si="46"/>
        <v>Manaus</v>
      </c>
      <c r="S72" s="8">
        <f t="shared" ca="1" si="47"/>
        <v>7</v>
      </c>
      <c r="T72" s="10">
        <f t="shared" ca="1" si="48"/>
        <v>132365</v>
      </c>
      <c r="U72" s="10">
        <f t="shared" ca="1" si="49"/>
        <v>95302.8</v>
      </c>
      <c r="V72" s="10">
        <f t="shared" ca="1" si="50"/>
        <v>926555</v>
      </c>
      <c r="W72" s="10">
        <f t="shared" ca="1" si="51"/>
        <v>667119.6</v>
      </c>
      <c r="X72" s="10">
        <f t="shared" ca="1" si="52"/>
        <v>259435.40000000002</v>
      </c>
      <c r="Y72" s="12">
        <f t="shared" ca="1" si="53"/>
        <v>0.28000000000000003</v>
      </c>
      <c r="Z72" s="2" t="str">
        <f t="shared" ca="1" si="54"/>
        <v>Concluída</v>
      </c>
      <c r="AA72" s="8">
        <f t="shared" ca="1" si="55"/>
        <v>16</v>
      </c>
      <c r="AB72" s="2">
        <f t="shared" ca="1" si="56"/>
        <v>17</v>
      </c>
      <c r="AC72" s="2">
        <f t="shared" ca="1" si="57"/>
        <v>7</v>
      </c>
    </row>
    <row r="73" spans="1:29" x14ac:dyDescent="0.25">
      <c r="A73" s="14" t="str">
        <f t="shared" si="29"/>
        <v>VND-00073</v>
      </c>
      <c r="B73" s="5">
        <f t="shared" ca="1" si="30"/>
        <v>44927</v>
      </c>
      <c r="C73" s="2">
        <f t="shared" ca="1" si="31"/>
        <v>2023</v>
      </c>
      <c r="D73" s="2" t="str">
        <f t="shared" ca="1" si="32"/>
        <v>janeiro</v>
      </c>
      <c r="E73" s="2" t="str">
        <f t="shared" ca="1" si="33"/>
        <v>2023/01</v>
      </c>
      <c r="F73" s="14" t="str">
        <f t="shared" ca="1" si="34"/>
        <v>CLI-7335</v>
      </c>
      <c r="G73" s="2" t="str">
        <f t="shared" ca="1" si="35"/>
        <v>Maria</v>
      </c>
      <c r="H73" s="2" t="str">
        <f t="shared" ca="1" si="36"/>
        <v>Recorrente</v>
      </c>
      <c r="I73" s="2" t="str">
        <f t="shared" ca="1" si="37"/>
        <v>Juliana</v>
      </c>
      <c r="J73" s="14" t="str">
        <f t="shared" ca="1" si="38"/>
        <v>VCL-2816</v>
      </c>
      <c r="K73" s="2" t="str">
        <f t="shared" ca="1" si="39"/>
        <v>Corolla</v>
      </c>
      <c r="L73" s="2" t="str">
        <f t="shared" ca="1" si="40"/>
        <v>Toyota</v>
      </c>
      <c r="M73" s="2" t="str">
        <f t="shared" ca="1" si="41"/>
        <v>SUV</v>
      </c>
      <c r="N73" s="2">
        <f t="shared" ca="1" si="42"/>
        <v>2024</v>
      </c>
      <c r="O73" s="2" t="str">
        <f t="shared" ca="1" si="43"/>
        <v>Loja</v>
      </c>
      <c r="P73" s="2" t="str">
        <f t="shared" ca="1" si="44"/>
        <v>Sul</v>
      </c>
      <c r="Q73" s="2" t="str">
        <f t="shared" ca="1" si="45"/>
        <v>RS</v>
      </c>
      <c r="R73" s="2" t="str">
        <f t="shared" ca="1" si="46"/>
        <v>Pelotas</v>
      </c>
      <c r="S73" s="8">
        <f t="shared" ca="1" si="47"/>
        <v>2</v>
      </c>
      <c r="T73" s="10">
        <f t="shared" ca="1" si="48"/>
        <v>228663</v>
      </c>
      <c r="U73" s="10">
        <f t="shared" ca="1" si="49"/>
        <v>187503.65999999997</v>
      </c>
      <c r="V73" s="10">
        <f t="shared" ca="1" si="50"/>
        <v>457326</v>
      </c>
      <c r="W73" s="10">
        <f t="shared" ca="1" si="51"/>
        <v>375007.31999999995</v>
      </c>
      <c r="X73" s="10">
        <f t="shared" ca="1" si="52"/>
        <v>82318.680000000051</v>
      </c>
      <c r="Y73" s="12">
        <f t="shared" ca="1" si="53"/>
        <v>0.1800000000000001</v>
      </c>
      <c r="Z73" s="2" t="str">
        <f t="shared" ca="1" si="54"/>
        <v>Em negociação</v>
      </c>
      <c r="AA73" s="8">
        <f t="shared" ca="1" si="55"/>
        <v>24</v>
      </c>
      <c r="AB73" s="2">
        <f t="shared" ca="1" si="56"/>
        <v>12</v>
      </c>
      <c r="AC73" s="2">
        <f t="shared" ca="1" si="57"/>
        <v>7</v>
      </c>
    </row>
    <row r="74" spans="1:29" x14ac:dyDescent="0.25">
      <c r="A74" s="14" t="str">
        <f t="shared" si="29"/>
        <v>VND-00074</v>
      </c>
      <c r="B74" s="5">
        <f t="shared" ca="1" si="30"/>
        <v>44947</v>
      </c>
      <c r="C74" s="2">
        <f t="shared" ca="1" si="31"/>
        <v>2023</v>
      </c>
      <c r="D74" s="2" t="str">
        <f t="shared" ca="1" si="32"/>
        <v>janeiro</v>
      </c>
      <c r="E74" s="2" t="str">
        <f t="shared" ca="1" si="33"/>
        <v>2023/01</v>
      </c>
      <c r="F74" s="14" t="str">
        <f t="shared" ca="1" si="34"/>
        <v>CLI-1158</v>
      </c>
      <c r="G74" s="2" t="str">
        <f t="shared" ca="1" si="35"/>
        <v>João</v>
      </c>
      <c r="H74" s="2" t="str">
        <f t="shared" ca="1" si="36"/>
        <v>Novo</v>
      </c>
      <c r="I74" s="2" t="str">
        <f t="shared" ca="1" si="37"/>
        <v>Amanda</v>
      </c>
      <c r="J74" s="14" t="str">
        <f t="shared" ca="1" si="38"/>
        <v>VCL-7115</v>
      </c>
      <c r="K74" s="2" t="str">
        <f t="shared" ca="1" si="39"/>
        <v>Civic</v>
      </c>
      <c r="L74" s="2" t="str">
        <f t="shared" ca="1" si="40"/>
        <v>Honda</v>
      </c>
      <c r="M74" s="2" t="str">
        <f t="shared" ca="1" si="41"/>
        <v>SUV</v>
      </c>
      <c r="N74" s="2">
        <f t="shared" ca="1" si="42"/>
        <v>2023</v>
      </c>
      <c r="O74" s="2" t="str">
        <f t="shared" ca="1" si="43"/>
        <v>Loja</v>
      </c>
      <c r="P74" s="2" t="str">
        <f t="shared" ca="1" si="44"/>
        <v>Norte</v>
      </c>
      <c r="Q74" s="2" t="str">
        <f t="shared" ca="1" si="45"/>
        <v>PA</v>
      </c>
      <c r="R74" s="2" t="str">
        <f t="shared" ca="1" si="46"/>
        <v>Marabá</v>
      </c>
      <c r="S74" s="8">
        <f t="shared" ca="1" si="47"/>
        <v>5</v>
      </c>
      <c r="T74" s="10">
        <f t="shared" ca="1" si="48"/>
        <v>73595</v>
      </c>
      <c r="U74" s="10">
        <f t="shared" ca="1" si="49"/>
        <v>54460.3</v>
      </c>
      <c r="V74" s="10">
        <f t="shared" ca="1" si="50"/>
        <v>367975</v>
      </c>
      <c r="W74" s="10">
        <f t="shared" ca="1" si="51"/>
        <v>272301.5</v>
      </c>
      <c r="X74" s="10">
        <f t="shared" ca="1" si="52"/>
        <v>95673.5</v>
      </c>
      <c r="Y74" s="12">
        <f t="shared" ca="1" si="53"/>
        <v>0.26</v>
      </c>
      <c r="Z74" s="2" t="str">
        <f t="shared" ca="1" si="54"/>
        <v>Concluída</v>
      </c>
      <c r="AA74" s="8">
        <f t="shared" ca="1" si="55"/>
        <v>8</v>
      </c>
      <c r="AB74" s="2">
        <f t="shared" ca="1" si="56"/>
        <v>17</v>
      </c>
      <c r="AC74" s="2">
        <f t="shared" ca="1" si="57"/>
        <v>7</v>
      </c>
    </row>
    <row r="75" spans="1:29" x14ac:dyDescent="0.25">
      <c r="A75" s="14" t="str">
        <f t="shared" si="29"/>
        <v>VND-00075</v>
      </c>
      <c r="B75" s="5">
        <f t="shared" ca="1" si="30"/>
        <v>45915</v>
      </c>
      <c r="C75" s="2">
        <f t="shared" ca="1" si="31"/>
        <v>2025</v>
      </c>
      <c r="D75" s="2" t="str">
        <f t="shared" ca="1" si="32"/>
        <v>setembro</v>
      </c>
      <c r="E75" s="2" t="str">
        <f t="shared" ca="1" si="33"/>
        <v>2025/09</v>
      </c>
      <c r="F75" s="14" t="str">
        <f t="shared" ca="1" si="34"/>
        <v>CLI-4077</v>
      </c>
      <c r="G75" s="2" t="str">
        <f t="shared" ca="1" si="35"/>
        <v>João</v>
      </c>
      <c r="H75" s="2" t="str">
        <f t="shared" ca="1" si="36"/>
        <v>Novo</v>
      </c>
      <c r="I75" s="2" t="str">
        <f t="shared" ca="1" si="37"/>
        <v>Pedro</v>
      </c>
      <c r="J75" s="14" t="str">
        <f t="shared" ca="1" si="38"/>
        <v>VCL-2926</v>
      </c>
      <c r="K75" s="2" t="str">
        <f t="shared" ca="1" si="39"/>
        <v>HB20</v>
      </c>
      <c r="L75" s="2" t="str">
        <f t="shared" ca="1" si="40"/>
        <v>Hyundai</v>
      </c>
      <c r="M75" s="2" t="str">
        <f t="shared" ca="1" si="41"/>
        <v>Popular</v>
      </c>
      <c r="N75" s="2">
        <f t="shared" ca="1" si="42"/>
        <v>2024</v>
      </c>
      <c r="O75" s="2" t="str">
        <f t="shared" ca="1" si="43"/>
        <v>Loja</v>
      </c>
      <c r="P75" s="2" t="str">
        <f t="shared" ca="1" si="44"/>
        <v>Sudeste</v>
      </c>
      <c r="Q75" s="2" t="str">
        <f t="shared" ca="1" si="45"/>
        <v>SP</v>
      </c>
      <c r="R75" s="2" t="str">
        <f t="shared" ca="1" si="46"/>
        <v>Sorocaba</v>
      </c>
      <c r="S75" s="8">
        <f t="shared" ca="1" si="47"/>
        <v>4</v>
      </c>
      <c r="T75" s="10">
        <f t="shared" ca="1" si="48"/>
        <v>74104</v>
      </c>
      <c r="U75" s="10">
        <f t="shared" ca="1" si="49"/>
        <v>51872.799999999996</v>
      </c>
      <c r="V75" s="10">
        <f t="shared" ca="1" si="50"/>
        <v>296416</v>
      </c>
      <c r="W75" s="10">
        <f t="shared" ca="1" si="51"/>
        <v>207491.19999999998</v>
      </c>
      <c r="X75" s="10">
        <f t="shared" ca="1" si="52"/>
        <v>88924.800000000017</v>
      </c>
      <c r="Y75" s="12">
        <f t="shared" ca="1" si="53"/>
        <v>0.30000000000000004</v>
      </c>
      <c r="Z75" s="2" t="str">
        <f t="shared" ca="1" si="54"/>
        <v>Concluída</v>
      </c>
      <c r="AA75" s="8">
        <f t="shared" ca="1" si="55"/>
        <v>14</v>
      </c>
      <c r="AB75" s="2">
        <f t="shared" ca="1" si="56"/>
        <v>14</v>
      </c>
      <c r="AC75" s="2">
        <f t="shared" ca="1" si="57"/>
        <v>10</v>
      </c>
    </row>
    <row r="76" spans="1:29" x14ac:dyDescent="0.25">
      <c r="A76" s="14" t="str">
        <f t="shared" si="29"/>
        <v>VND-00076</v>
      </c>
      <c r="B76" s="5">
        <f t="shared" ca="1" si="30"/>
        <v>45363</v>
      </c>
      <c r="C76" s="2">
        <f t="shared" ca="1" si="31"/>
        <v>2024</v>
      </c>
      <c r="D76" s="2" t="str">
        <f t="shared" ca="1" si="32"/>
        <v>março</v>
      </c>
      <c r="E76" s="2" t="str">
        <f t="shared" ca="1" si="33"/>
        <v>2024/03</v>
      </c>
      <c r="F76" s="14" t="str">
        <f t="shared" ca="1" si="34"/>
        <v>CLI-8897</v>
      </c>
      <c r="G76" s="2" t="str">
        <f t="shared" ca="1" si="35"/>
        <v>Fernanda</v>
      </c>
      <c r="H76" s="2" t="str">
        <f t="shared" ca="1" si="36"/>
        <v>Novo</v>
      </c>
      <c r="I76" s="2" t="str">
        <f t="shared" ca="1" si="37"/>
        <v>Larissa</v>
      </c>
      <c r="J76" s="14" t="str">
        <f t="shared" ca="1" si="38"/>
        <v>VCL-4407</v>
      </c>
      <c r="K76" s="2" t="str">
        <f t="shared" ca="1" si="39"/>
        <v>HB20</v>
      </c>
      <c r="L76" s="2" t="str">
        <f t="shared" ca="1" si="40"/>
        <v>Hyundai</v>
      </c>
      <c r="M76" s="2" t="str">
        <f t="shared" ca="1" si="41"/>
        <v>Popular</v>
      </c>
      <c r="N76" s="2">
        <f t="shared" ca="1" si="42"/>
        <v>2022</v>
      </c>
      <c r="O76" s="2" t="str">
        <f t="shared" ca="1" si="43"/>
        <v>Online</v>
      </c>
      <c r="P76" s="2" t="str">
        <f t="shared" ca="1" si="44"/>
        <v>Centro-Oeste</v>
      </c>
      <c r="Q76" s="2" t="str">
        <f t="shared" ca="1" si="45"/>
        <v>DF</v>
      </c>
      <c r="R76" s="2" t="str">
        <f t="shared" ca="1" si="46"/>
        <v>Brasília</v>
      </c>
      <c r="S76" s="8">
        <f t="shared" ca="1" si="47"/>
        <v>3</v>
      </c>
      <c r="T76" s="10">
        <f t="shared" ca="1" si="48"/>
        <v>226666</v>
      </c>
      <c r="U76" s="10">
        <f t="shared" ca="1" si="49"/>
        <v>188132.78</v>
      </c>
      <c r="V76" s="10">
        <f t="shared" ca="1" si="50"/>
        <v>679998</v>
      </c>
      <c r="W76" s="10">
        <f t="shared" ca="1" si="51"/>
        <v>564398.34</v>
      </c>
      <c r="X76" s="10">
        <f t="shared" ca="1" si="52"/>
        <v>115599.66000000003</v>
      </c>
      <c r="Y76" s="12">
        <f t="shared" ca="1" si="53"/>
        <v>0.17000000000000004</v>
      </c>
      <c r="Z76" s="2" t="str">
        <f t="shared" ca="1" si="54"/>
        <v>Em negociação</v>
      </c>
      <c r="AA76" s="8">
        <f t="shared" ca="1" si="55"/>
        <v>17</v>
      </c>
      <c r="AB76" s="2">
        <f t="shared" ca="1" si="56"/>
        <v>17</v>
      </c>
      <c r="AC76" s="2">
        <f t="shared" ca="1" si="57"/>
        <v>10</v>
      </c>
    </row>
    <row r="77" spans="1:29" x14ac:dyDescent="0.25">
      <c r="A77" s="14" t="str">
        <f t="shared" si="29"/>
        <v>VND-00077</v>
      </c>
      <c r="B77" s="5">
        <f t="shared" ca="1" si="30"/>
        <v>45105</v>
      </c>
      <c r="C77" s="2">
        <f t="shared" ca="1" si="31"/>
        <v>2023</v>
      </c>
      <c r="D77" s="2" t="str">
        <f t="shared" ca="1" si="32"/>
        <v>junho</v>
      </c>
      <c r="E77" s="2" t="str">
        <f t="shared" ca="1" si="33"/>
        <v>2023/06</v>
      </c>
      <c r="F77" s="14" t="str">
        <f t="shared" ca="1" si="34"/>
        <v>CLI-9175</v>
      </c>
      <c r="G77" s="2" t="str">
        <f t="shared" ca="1" si="35"/>
        <v>Rafael</v>
      </c>
      <c r="H77" s="2" t="str">
        <f t="shared" ca="1" si="36"/>
        <v>Novo</v>
      </c>
      <c r="I77" s="2" t="str">
        <f t="shared" ca="1" si="37"/>
        <v>Eduardo</v>
      </c>
      <c r="J77" s="14" t="str">
        <f t="shared" ca="1" si="38"/>
        <v>VCL-3908</v>
      </c>
      <c r="K77" s="2" t="str">
        <f t="shared" ca="1" si="39"/>
        <v>Onix</v>
      </c>
      <c r="L77" s="2" t="str">
        <f t="shared" ca="1" si="40"/>
        <v>Chevrolet</v>
      </c>
      <c r="M77" s="2" t="str">
        <f t="shared" ca="1" si="41"/>
        <v>Popular</v>
      </c>
      <c r="N77" s="2">
        <f t="shared" ca="1" si="42"/>
        <v>2015</v>
      </c>
      <c r="O77" s="2" t="str">
        <f t="shared" ca="1" si="43"/>
        <v>Loja</v>
      </c>
      <c r="P77" s="2" t="str">
        <f t="shared" ca="1" si="44"/>
        <v>Centro-Oeste</v>
      </c>
      <c r="Q77" s="2" t="str">
        <f t="shared" ca="1" si="45"/>
        <v>GO</v>
      </c>
      <c r="R77" s="2" t="str">
        <f t="shared" ca="1" si="46"/>
        <v>Luziânia</v>
      </c>
      <c r="S77" s="8">
        <f t="shared" ca="1" si="47"/>
        <v>10</v>
      </c>
      <c r="T77" s="10">
        <f t="shared" ca="1" si="48"/>
        <v>81373</v>
      </c>
      <c r="U77" s="10">
        <f t="shared" ca="1" si="49"/>
        <v>59402.29</v>
      </c>
      <c r="V77" s="10">
        <f t="shared" ca="1" si="50"/>
        <v>813730</v>
      </c>
      <c r="W77" s="10">
        <f t="shared" ca="1" si="51"/>
        <v>594022.9</v>
      </c>
      <c r="X77" s="10">
        <f t="shared" ca="1" si="52"/>
        <v>219707.09999999998</v>
      </c>
      <c r="Y77" s="12">
        <f t="shared" ca="1" si="53"/>
        <v>0.26999999999999996</v>
      </c>
      <c r="Z77" s="2" t="str">
        <f t="shared" ca="1" si="54"/>
        <v>Cancelada</v>
      </c>
      <c r="AA77" s="8">
        <f t="shared" ca="1" si="55"/>
        <v>6</v>
      </c>
      <c r="AB77" s="2">
        <f t="shared" ca="1" si="56"/>
        <v>28</v>
      </c>
      <c r="AC77" s="2">
        <f t="shared" ca="1" si="57"/>
        <v>10</v>
      </c>
    </row>
    <row r="78" spans="1:29" x14ac:dyDescent="0.25">
      <c r="A78" s="14" t="str">
        <f t="shared" si="29"/>
        <v>VND-00078</v>
      </c>
      <c r="B78" s="5">
        <f t="shared" ca="1" si="30"/>
        <v>45497</v>
      </c>
      <c r="C78" s="2">
        <f t="shared" ca="1" si="31"/>
        <v>2024</v>
      </c>
      <c r="D78" s="2" t="str">
        <f t="shared" ca="1" si="32"/>
        <v>julho</v>
      </c>
      <c r="E78" s="2" t="str">
        <f t="shared" ca="1" si="33"/>
        <v>2024/07</v>
      </c>
      <c r="F78" s="14" t="str">
        <f t="shared" ca="1" si="34"/>
        <v>CLI-4972</v>
      </c>
      <c r="G78" s="2" t="str">
        <f t="shared" ca="1" si="35"/>
        <v>Juliana</v>
      </c>
      <c r="H78" s="2" t="str">
        <f t="shared" ca="1" si="36"/>
        <v>Novo</v>
      </c>
      <c r="I78" s="2" t="str">
        <f t="shared" ca="1" si="37"/>
        <v>Ana</v>
      </c>
      <c r="J78" s="14" t="str">
        <f t="shared" ca="1" si="38"/>
        <v>VCL-8646</v>
      </c>
      <c r="K78" s="2" t="str">
        <f t="shared" ca="1" si="39"/>
        <v>Corolla</v>
      </c>
      <c r="L78" s="2" t="str">
        <f t="shared" ca="1" si="40"/>
        <v>Toyota</v>
      </c>
      <c r="M78" s="2" t="str">
        <f t="shared" ca="1" si="41"/>
        <v>SUV</v>
      </c>
      <c r="N78" s="2">
        <f t="shared" ca="1" si="42"/>
        <v>2024</v>
      </c>
      <c r="O78" s="2" t="str">
        <f t="shared" ca="1" si="43"/>
        <v>Loja</v>
      </c>
      <c r="P78" s="2" t="str">
        <f t="shared" ca="1" si="44"/>
        <v>Sudeste</v>
      </c>
      <c r="Q78" s="2" t="str">
        <f t="shared" ca="1" si="45"/>
        <v>SP</v>
      </c>
      <c r="R78" s="2" t="str">
        <f t="shared" ca="1" si="46"/>
        <v>Sorocaba</v>
      </c>
      <c r="S78" s="8">
        <f t="shared" ca="1" si="47"/>
        <v>6</v>
      </c>
      <c r="T78" s="10">
        <f t="shared" ca="1" si="48"/>
        <v>169861</v>
      </c>
      <c r="U78" s="10">
        <f t="shared" ca="1" si="49"/>
        <v>134190.19</v>
      </c>
      <c r="V78" s="10">
        <f t="shared" ca="1" si="50"/>
        <v>1019166</v>
      </c>
      <c r="W78" s="10">
        <f t="shared" ca="1" si="51"/>
        <v>805141.14</v>
      </c>
      <c r="X78" s="10">
        <f t="shared" ca="1" si="52"/>
        <v>214024.86</v>
      </c>
      <c r="Y78" s="12">
        <f t="shared" ca="1" si="53"/>
        <v>0.21</v>
      </c>
      <c r="Z78" s="2" t="str">
        <f t="shared" ca="1" si="54"/>
        <v>Em negociação</v>
      </c>
      <c r="AA78" s="8">
        <f t="shared" ca="1" si="55"/>
        <v>13</v>
      </c>
      <c r="AB78" s="2">
        <f t="shared" ca="1" si="56"/>
        <v>6</v>
      </c>
      <c r="AC78" s="2">
        <f t="shared" ca="1" si="57"/>
        <v>7</v>
      </c>
    </row>
    <row r="79" spans="1:29" x14ac:dyDescent="0.25">
      <c r="A79" s="14" t="str">
        <f t="shared" si="29"/>
        <v>VND-00079</v>
      </c>
      <c r="B79" s="5">
        <f t="shared" ca="1" si="30"/>
        <v>45743</v>
      </c>
      <c r="C79" s="2">
        <f t="shared" ca="1" si="31"/>
        <v>2025</v>
      </c>
      <c r="D79" s="2" t="str">
        <f t="shared" ca="1" si="32"/>
        <v>março</v>
      </c>
      <c r="E79" s="2" t="str">
        <f t="shared" ca="1" si="33"/>
        <v>2025/03</v>
      </c>
      <c r="F79" s="14" t="str">
        <f t="shared" ca="1" si="34"/>
        <v>CLI-5964</v>
      </c>
      <c r="G79" s="2" t="str">
        <f t="shared" ca="1" si="35"/>
        <v>João</v>
      </c>
      <c r="H79" s="2" t="str">
        <f t="shared" ca="1" si="36"/>
        <v>Recorrente</v>
      </c>
      <c r="I79" s="2" t="str">
        <f t="shared" ca="1" si="37"/>
        <v>Carlos</v>
      </c>
      <c r="J79" s="14" t="str">
        <f t="shared" ca="1" si="38"/>
        <v>VCL-1475</v>
      </c>
      <c r="K79" s="2" t="str">
        <f t="shared" ca="1" si="39"/>
        <v>BMW X1</v>
      </c>
      <c r="L79" s="2" t="str">
        <f t="shared" ca="1" si="40"/>
        <v>BMW</v>
      </c>
      <c r="M79" s="2" t="str">
        <f t="shared" ca="1" si="41"/>
        <v>Luxo</v>
      </c>
      <c r="N79" s="2">
        <f t="shared" ca="1" si="42"/>
        <v>2015</v>
      </c>
      <c r="O79" s="2" t="str">
        <f t="shared" ca="1" si="43"/>
        <v>Online</v>
      </c>
      <c r="P79" s="2" t="str">
        <f t="shared" ca="1" si="44"/>
        <v>Norte</v>
      </c>
      <c r="Q79" s="2" t="str">
        <f t="shared" ca="1" si="45"/>
        <v>AM</v>
      </c>
      <c r="R79" s="2" t="str">
        <f t="shared" ca="1" si="46"/>
        <v>Parintins</v>
      </c>
      <c r="S79" s="8">
        <f t="shared" ca="1" si="47"/>
        <v>7</v>
      </c>
      <c r="T79" s="10">
        <f t="shared" ca="1" si="48"/>
        <v>232779</v>
      </c>
      <c r="U79" s="10">
        <f t="shared" ca="1" si="49"/>
        <v>183895.41</v>
      </c>
      <c r="V79" s="10">
        <f t="shared" ca="1" si="50"/>
        <v>1629453</v>
      </c>
      <c r="W79" s="10">
        <f t="shared" ca="1" si="51"/>
        <v>1287267.8700000001</v>
      </c>
      <c r="X79" s="10">
        <f t="shared" ca="1" si="52"/>
        <v>342185.12999999989</v>
      </c>
      <c r="Y79" s="12">
        <f t="shared" ca="1" si="53"/>
        <v>0.20999999999999994</v>
      </c>
      <c r="Z79" s="2" t="str">
        <f t="shared" ca="1" si="54"/>
        <v>Em negociação</v>
      </c>
      <c r="AA79" s="8">
        <f t="shared" ca="1" si="55"/>
        <v>15</v>
      </c>
      <c r="AB79" s="2">
        <f t="shared" ca="1" si="56"/>
        <v>3</v>
      </c>
      <c r="AC79" s="2">
        <f t="shared" ca="1" si="57"/>
        <v>3</v>
      </c>
    </row>
    <row r="80" spans="1:29" x14ac:dyDescent="0.25">
      <c r="A80" s="14" t="str">
        <f t="shared" si="29"/>
        <v>VND-00080</v>
      </c>
      <c r="B80" s="5">
        <f t="shared" ca="1" si="30"/>
        <v>45480</v>
      </c>
      <c r="C80" s="2">
        <f t="shared" ca="1" si="31"/>
        <v>2024</v>
      </c>
      <c r="D80" s="2" t="str">
        <f t="shared" ca="1" si="32"/>
        <v>julho</v>
      </c>
      <c r="E80" s="2" t="str">
        <f t="shared" ca="1" si="33"/>
        <v>2024/07</v>
      </c>
      <c r="F80" s="14" t="str">
        <f t="shared" ca="1" si="34"/>
        <v>CLI-1069</v>
      </c>
      <c r="G80" s="2" t="str">
        <f t="shared" ca="1" si="35"/>
        <v>Carlos</v>
      </c>
      <c r="H80" s="2" t="str">
        <f t="shared" ca="1" si="36"/>
        <v>Novo</v>
      </c>
      <c r="I80" s="2" t="str">
        <f t="shared" ca="1" si="37"/>
        <v>Vinicius</v>
      </c>
      <c r="J80" s="14" t="str">
        <f t="shared" ca="1" si="38"/>
        <v>VCL-8172</v>
      </c>
      <c r="K80" s="2" t="str">
        <f t="shared" ca="1" si="39"/>
        <v>Onix</v>
      </c>
      <c r="L80" s="2" t="str">
        <f t="shared" ca="1" si="40"/>
        <v>Chevrolet</v>
      </c>
      <c r="M80" s="2" t="str">
        <f t="shared" ca="1" si="41"/>
        <v>Popular</v>
      </c>
      <c r="N80" s="2">
        <f t="shared" ca="1" si="42"/>
        <v>2021</v>
      </c>
      <c r="O80" s="2" t="str">
        <f t="shared" ca="1" si="43"/>
        <v>Loja</v>
      </c>
      <c r="P80" s="2" t="str">
        <f t="shared" ca="1" si="44"/>
        <v>Centro-Oeste</v>
      </c>
      <c r="Q80" s="2" t="str">
        <f t="shared" ca="1" si="45"/>
        <v>DF</v>
      </c>
      <c r="R80" s="2" t="str">
        <f t="shared" ca="1" si="46"/>
        <v>Planaltina</v>
      </c>
      <c r="S80" s="8">
        <f t="shared" ca="1" si="47"/>
        <v>9</v>
      </c>
      <c r="T80" s="10">
        <f t="shared" ca="1" si="48"/>
        <v>230950</v>
      </c>
      <c r="U80" s="10">
        <f t="shared" ca="1" si="49"/>
        <v>163974.5</v>
      </c>
      <c r="V80" s="10">
        <f t="shared" ca="1" si="50"/>
        <v>2078550</v>
      </c>
      <c r="W80" s="10">
        <f t="shared" ca="1" si="51"/>
        <v>1475770.5</v>
      </c>
      <c r="X80" s="10">
        <f t="shared" ca="1" si="52"/>
        <v>602779.5</v>
      </c>
      <c r="Y80" s="12">
        <f t="shared" ca="1" si="53"/>
        <v>0.28999999999999998</v>
      </c>
      <c r="Z80" s="2" t="str">
        <f t="shared" ca="1" si="54"/>
        <v>Concluída</v>
      </c>
      <c r="AA80" s="8">
        <f t="shared" ca="1" si="55"/>
        <v>22</v>
      </c>
      <c r="AB80" s="2">
        <f t="shared" ca="1" si="56"/>
        <v>14</v>
      </c>
      <c r="AC80" s="2">
        <f t="shared" ca="1" si="57"/>
        <v>10</v>
      </c>
    </row>
    <row r="81" spans="1:29" x14ac:dyDescent="0.25">
      <c r="A81" s="14" t="str">
        <f t="shared" si="29"/>
        <v>VND-00081</v>
      </c>
      <c r="B81" s="5">
        <f t="shared" ca="1" si="30"/>
        <v>45164</v>
      </c>
      <c r="C81" s="2">
        <f t="shared" ca="1" si="31"/>
        <v>2023</v>
      </c>
      <c r="D81" s="2" t="str">
        <f t="shared" ca="1" si="32"/>
        <v>agosto</v>
      </c>
      <c r="E81" s="2" t="str">
        <f t="shared" ca="1" si="33"/>
        <v>2023/08</v>
      </c>
      <c r="F81" s="14" t="str">
        <f t="shared" ca="1" si="34"/>
        <v>CLI-7931</v>
      </c>
      <c r="G81" s="2" t="str">
        <f t="shared" ca="1" si="35"/>
        <v>Juliana</v>
      </c>
      <c r="H81" s="2" t="str">
        <f t="shared" ca="1" si="36"/>
        <v>Recorrente</v>
      </c>
      <c r="I81" s="2" t="str">
        <f t="shared" ca="1" si="37"/>
        <v>Felipe</v>
      </c>
      <c r="J81" s="14" t="str">
        <f t="shared" ca="1" si="38"/>
        <v>VCL-2320</v>
      </c>
      <c r="K81" s="2" t="str">
        <f t="shared" ca="1" si="39"/>
        <v>HB20</v>
      </c>
      <c r="L81" s="2" t="str">
        <f t="shared" ca="1" si="40"/>
        <v>Hyundai</v>
      </c>
      <c r="M81" s="2" t="str">
        <f t="shared" ca="1" si="41"/>
        <v>Popular</v>
      </c>
      <c r="N81" s="2">
        <f t="shared" ca="1" si="42"/>
        <v>2016</v>
      </c>
      <c r="O81" s="2" t="str">
        <f t="shared" ca="1" si="43"/>
        <v>Loja</v>
      </c>
      <c r="P81" s="2" t="str">
        <f t="shared" ca="1" si="44"/>
        <v>Norte</v>
      </c>
      <c r="Q81" s="2" t="str">
        <f t="shared" ca="1" si="45"/>
        <v>PA</v>
      </c>
      <c r="R81" s="2" t="str">
        <f t="shared" ca="1" si="46"/>
        <v>Marabá</v>
      </c>
      <c r="S81" s="8">
        <f t="shared" ca="1" si="47"/>
        <v>6</v>
      </c>
      <c r="T81" s="10">
        <f t="shared" ca="1" si="48"/>
        <v>245561</v>
      </c>
      <c r="U81" s="10">
        <f t="shared" ca="1" si="49"/>
        <v>179259.53</v>
      </c>
      <c r="V81" s="10">
        <f t="shared" ca="1" si="50"/>
        <v>1473366</v>
      </c>
      <c r="W81" s="10">
        <f t="shared" ca="1" si="51"/>
        <v>1075557.18</v>
      </c>
      <c r="X81" s="10">
        <f t="shared" ca="1" si="52"/>
        <v>397808.82000000007</v>
      </c>
      <c r="Y81" s="12">
        <f t="shared" ca="1" si="53"/>
        <v>0.27</v>
      </c>
      <c r="Z81" s="2" t="str">
        <f t="shared" ca="1" si="54"/>
        <v>Em negociação</v>
      </c>
      <c r="AA81" s="8">
        <f t="shared" ca="1" si="55"/>
        <v>30</v>
      </c>
      <c r="AB81" s="2">
        <f t="shared" ca="1" si="56"/>
        <v>14</v>
      </c>
      <c r="AC81" s="2">
        <f t="shared" ca="1" si="57"/>
        <v>10</v>
      </c>
    </row>
    <row r="82" spans="1:29" x14ac:dyDescent="0.25">
      <c r="A82" s="14" t="str">
        <f t="shared" si="29"/>
        <v>VND-00082</v>
      </c>
      <c r="B82" s="5">
        <f t="shared" ca="1" si="30"/>
        <v>45847</v>
      </c>
      <c r="C82" s="2">
        <f t="shared" ca="1" si="31"/>
        <v>2025</v>
      </c>
      <c r="D82" s="2" t="str">
        <f t="shared" ca="1" si="32"/>
        <v>julho</v>
      </c>
      <c r="E82" s="2" t="str">
        <f t="shared" ca="1" si="33"/>
        <v>2025/07</v>
      </c>
      <c r="F82" s="14" t="str">
        <f t="shared" ca="1" si="34"/>
        <v>CLI-4424</v>
      </c>
      <c r="G82" s="2" t="str">
        <f t="shared" ca="1" si="35"/>
        <v>Lucas</v>
      </c>
      <c r="H82" s="2" t="str">
        <f t="shared" ca="1" si="36"/>
        <v>Novo</v>
      </c>
      <c r="I82" s="2" t="str">
        <f t="shared" ca="1" si="37"/>
        <v>Tatiane</v>
      </c>
      <c r="J82" s="14" t="str">
        <f t="shared" ca="1" si="38"/>
        <v>VCL-2060</v>
      </c>
      <c r="K82" s="2" t="str">
        <f t="shared" ca="1" si="39"/>
        <v>Civic</v>
      </c>
      <c r="L82" s="2" t="str">
        <f t="shared" ca="1" si="40"/>
        <v>Honda</v>
      </c>
      <c r="M82" s="2" t="str">
        <f t="shared" ca="1" si="41"/>
        <v>SUV</v>
      </c>
      <c r="N82" s="2">
        <f t="shared" ca="1" si="42"/>
        <v>2015</v>
      </c>
      <c r="O82" s="2" t="str">
        <f t="shared" ca="1" si="43"/>
        <v>Loja</v>
      </c>
      <c r="P82" s="2" t="str">
        <f t="shared" ca="1" si="44"/>
        <v>Norte</v>
      </c>
      <c r="Q82" s="2" t="str">
        <f t="shared" ca="1" si="45"/>
        <v>PA</v>
      </c>
      <c r="R82" s="2" t="str">
        <f t="shared" ca="1" si="46"/>
        <v>Ananindeua</v>
      </c>
      <c r="S82" s="8">
        <f t="shared" ca="1" si="47"/>
        <v>7</v>
      </c>
      <c r="T82" s="10">
        <f t="shared" ca="1" si="48"/>
        <v>82383</v>
      </c>
      <c r="U82" s="10">
        <f t="shared" ca="1" si="49"/>
        <v>64258.740000000005</v>
      </c>
      <c r="V82" s="10">
        <f t="shared" ca="1" si="50"/>
        <v>576681</v>
      </c>
      <c r="W82" s="10">
        <f t="shared" ca="1" si="51"/>
        <v>449811.18000000005</v>
      </c>
      <c r="X82" s="10">
        <f t="shared" ca="1" si="52"/>
        <v>126869.81999999995</v>
      </c>
      <c r="Y82" s="12">
        <f t="shared" ca="1" si="53"/>
        <v>0.21999999999999992</v>
      </c>
      <c r="Z82" s="2" t="str">
        <f t="shared" ca="1" si="54"/>
        <v>Concluída</v>
      </c>
      <c r="AA82" s="8">
        <f t="shared" ca="1" si="55"/>
        <v>26</v>
      </c>
      <c r="AB82" s="2">
        <f t="shared" ca="1" si="56"/>
        <v>17</v>
      </c>
      <c r="AC82" s="2">
        <f t="shared" ca="1" si="57"/>
        <v>7</v>
      </c>
    </row>
    <row r="83" spans="1:29" x14ac:dyDescent="0.25">
      <c r="A83" s="14" t="str">
        <f t="shared" si="29"/>
        <v>VND-00083</v>
      </c>
      <c r="B83" s="5">
        <f t="shared" ca="1" si="30"/>
        <v>45911</v>
      </c>
      <c r="C83" s="2">
        <f t="shared" ca="1" si="31"/>
        <v>2025</v>
      </c>
      <c r="D83" s="2" t="str">
        <f t="shared" ca="1" si="32"/>
        <v>setembro</v>
      </c>
      <c r="E83" s="2" t="str">
        <f t="shared" ca="1" si="33"/>
        <v>2025/09</v>
      </c>
      <c r="F83" s="14" t="str">
        <f t="shared" ca="1" si="34"/>
        <v>CLI-7974</v>
      </c>
      <c r="G83" s="2" t="str">
        <f t="shared" ca="1" si="35"/>
        <v>Fernanda</v>
      </c>
      <c r="H83" s="2" t="str">
        <f t="shared" ca="1" si="36"/>
        <v>Novo</v>
      </c>
      <c r="I83" s="2" t="str">
        <f t="shared" ca="1" si="37"/>
        <v>Amanda</v>
      </c>
      <c r="J83" s="14" t="str">
        <f t="shared" ca="1" si="38"/>
        <v>VCL-2402</v>
      </c>
      <c r="K83" s="2" t="str">
        <f t="shared" ca="1" si="39"/>
        <v>Onix</v>
      </c>
      <c r="L83" s="2" t="str">
        <f t="shared" ca="1" si="40"/>
        <v>Chevrolet</v>
      </c>
      <c r="M83" s="2" t="str">
        <f t="shared" ca="1" si="41"/>
        <v>Popular</v>
      </c>
      <c r="N83" s="2">
        <f t="shared" ca="1" si="42"/>
        <v>2017</v>
      </c>
      <c r="O83" s="2" t="str">
        <f t="shared" ca="1" si="43"/>
        <v>Loja</v>
      </c>
      <c r="P83" s="2" t="str">
        <f t="shared" ca="1" si="44"/>
        <v>Norte</v>
      </c>
      <c r="Q83" s="2" t="str">
        <f t="shared" ca="1" si="45"/>
        <v>AM</v>
      </c>
      <c r="R83" s="2" t="str">
        <f t="shared" ca="1" si="46"/>
        <v>Coari</v>
      </c>
      <c r="S83" s="8">
        <f t="shared" ca="1" si="47"/>
        <v>6</v>
      </c>
      <c r="T83" s="10">
        <f t="shared" ca="1" si="48"/>
        <v>82929</v>
      </c>
      <c r="U83" s="10">
        <f t="shared" ca="1" si="49"/>
        <v>67172.490000000005</v>
      </c>
      <c r="V83" s="10">
        <f t="shared" ca="1" si="50"/>
        <v>497574</v>
      </c>
      <c r="W83" s="10">
        <f t="shared" ca="1" si="51"/>
        <v>403034.94000000006</v>
      </c>
      <c r="X83" s="10">
        <f t="shared" ca="1" si="52"/>
        <v>94539.059999999939</v>
      </c>
      <c r="Y83" s="12">
        <f t="shared" ca="1" si="53"/>
        <v>0.18999999999999989</v>
      </c>
      <c r="Z83" s="2" t="str">
        <f t="shared" ca="1" si="54"/>
        <v>Em negociação</v>
      </c>
      <c r="AA83" s="8">
        <f t="shared" ca="1" si="55"/>
        <v>28</v>
      </c>
      <c r="AB83" s="2">
        <f t="shared" ca="1" si="56"/>
        <v>11</v>
      </c>
      <c r="AC83" s="2">
        <f t="shared" ca="1" si="57"/>
        <v>10</v>
      </c>
    </row>
    <row r="84" spans="1:29" x14ac:dyDescent="0.25">
      <c r="A84" s="14" t="str">
        <f t="shared" si="29"/>
        <v>VND-00084</v>
      </c>
      <c r="B84" s="5">
        <f t="shared" ca="1" si="30"/>
        <v>45978</v>
      </c>
      <c r="C84" s="2">
        <f t="shared" ca="1" si="31"/>
        <v>2025</v>
      </c>
      <c r="D84" s="2" t="str">
        <f t="shared" ca="1" si="32"/>
        <v>novembro</v>
      </c>
      <c r="E84" s="2" t="str">
        <f t="shared" ca="1" si="33"/>
        <v>2025/11</v>
      </c>
      <c r="F84" s="14" t="str">
        <f t="shared" ca="1" si="34"/>
        <v>CLI-5949</v>
      </c>
      <c r="G84" s="2" t="str">
        <f t="shared" ca="1" si="35"/>
        <v>Carlos</v>
      </c>
      <c r="H84" s="2" t="str">
        <f t="shared" ca="1" si="36"/>
        <v>Recorrente</v>
      </c>
      <c r="I84" s="2" t="str">
        <f t="shared" ca="1" si="37"/>
        <v>Lucas</v>
      </c>
      <c r="J84" s="14" t="str">
        <f t="shared" ca="1" si="38"/>
        <v>VCL-9159</v>
      </c>
      <c r="K84" s="2" t="str">
        <f t="shared" ca="1" si="39"/>
        <v>HB20</v>
      </c>
      <c r="L84" s="2" t="str">
        <f t="shared" ca="1" si="40"/>
        <v>Hyundai</v>
      </c>
      <c r="M84" s="2" t="str">
        <f t="shared" ca="1" si="41"/>
        <v>Popular</v>
      </c>
      <c r="N84" s="2">
        <f t="shared" ca="1" si="42"/>
        <v>2020</v>
      </c>
      <c r="O84" s="2" t="str">
        <f t="shared" ca="1" si="43"/>
        <v>Loja</v>
      </c>
      <c r="P84" s="2" t="str">
        <f t="shared" ca="1" si="44"/>
        <v>Sudeste</v>
      </c>
      <c r="Q84" s="2" t="str">
        <f t="shared" ca="1" si="45"/>
        <v>MG</v>
      </c>
      <c r="R84" s="2" t="str">
        <f t="shared" ca="1" si="46"/>
        <v>Belo Horizonte</v>
      </c>
      <c r="S84" s="8">
        <f t="shared" ca="1" si="47"/>
        <v>5</v>
      </c>
      <c r="T84" s="10">
        <f t="shared" ca="1" si="48"/>
        <v>240750</v>
      </c>
      <c r="U84" s="10">
        <f t="shared" ca="1" si="49"/>
        <v>199822.5</v>
      </c>
      <c r="V84" s="10">
        <f t="shared" ca="1" si="50"/>
        <v>1203750</v>
      </c>
      <c r="W84" s="10">
        <f t="shared" ca="1" si="51"/>
        <v>999112.5</v>
      </c>
      <c r="X84" s="10">
        <f t="shared" ca="1" si="52"/>
        <v>204637.5</v>
      </c>
      <c r="Y84" s="12">
        <f t="shared" ca="1" si="53"/>
        <v>0.17</v>
      </c>
      <c r="Z84" s="2" t="str">
        <f t="shared" ca="1" si="54"/>
        <v>Concluída</v>
      </c>
      <c r="AA84" s="8">
        <f t="shared" ca="1" si="55"/>
        <v>1</v>
      </c>
      <c r="AB84" s="2">
        <f t="shared" ca="1" si="56"/>
        <v>13</v>
      </c>
      <c r="AC84" s="2">
        <f t="shared" ca="1" si="57"/>
        <v>10</v>
      </c>
    </row>
    <row r="85" spans="1:29" x14ac:dyDescent="0.25">
      <c r="A85" s="14" t="str">
        <f t="shared" si="29"/>
        <v>VND-00085</v>
      </c>
      <c r="B85" s="5">
        <f t="shared" ca="1" si="30"/>
        <v>45563</v>
      </c>
      <c r="C85" s="2">
        <f t="shared" ca="1" si="31"/>
        <v>2024</v>
      </c>
      <c r="D85" s="2" t="str">
        <f t="shared" ca="1" si="32"/>
        <v>setembro</v>
      </c>
      <c r="E85" s="2" t="str">
        <f t="shared" ca="1" si="33"/>
        <v>2024/09</v>
      </c>
      <c r="F85" s="14" t="str">
        <f t="shared" ca="1" si="34"/>
        <v>CLI-1322</v>
      </c>
      <c r="G85" s="2" t="str">
        <f t="shared" ca="1" si="35"/>
        <v>Fernanda</v>
      </c>
      <c r="H85" s="2" t="str">
        <f t="shared" ca="1" si="36"/>
        <v>Novo</v>
      </c>
      <c r="I85" s="2" t="str">
        <f t="shared" ca="1" si="37"/>
        <v>Diego</v>
      </c>
      <c r="J85" s="14" t="str">
        <f t="shared" ca="1" si="38"/>
        <v>VCL-3355</v>
      </c>
      <c r="K85" s="2" t="str">
        <f t="shared" ca="1" si="39"/>
        <v>HB20</v>
      </c>
      <c r="L85" s="2" t="str">
        <f t="shared" ca="1" si="40"/>
        <v>Hyundai</v>
      </c>
      <c r="M85" s="2" t="str">
        <f t="shared" ca="1" si="41"/>
        <v>Popular</v>
      </c>
      <c r="N85" s="2">
        <f t="shared" ca="1" si="42"/>
        <v>2022</v>
      </c>
      <c r="O85" s="2" t="str">
        <f t="shared" ca="1" si="43"/>
        <v>Loja</v>
      </c>
      <c r="P85" s="2" t="str">
        <f t="shared" ca="1" si="44"/>
        <v>Nordeste</v>
      </c>
      <c r="Q85" s="2" t="str">
        <f t="shared" ca="1" si="45"/>
        <v>CE</v>
      </c>
      <c r="R85" s="2" t="str">
        <f t="shared" ca="1" si="46"/>
        <v>Juazeiro do Norte</v>
      </c>
      <c r="S85" s="8">
        <f t="shared" ca="1" si="47"/>
        <v>9</v>
      </c>
      <c r="T85" s="10">
        <f t="shared" ca="1" si="48"/>
        <v>130035</v>
      </c>
      <c r="U85" s="10">
        <f t="shared" ca="1" si="49"/>
        <v>110529.75</v>
      </c>
      <c r="V85" s="10">
        <f t="shared" ca="1" si="50"/>
        <v>1170315</v>
      </c>
      <c r="W85" s="10">
        <f t="shared" ca="1" si="51"/>
        <v>994767.75</v>
      </c>
      <c r="X85" s="10">
        <f t="shared" ca="1" si="52"/>
        <v>175547.25</v>
      </c>
      <c r="Y85" s="12">
        <f t="shared" ca="1" si="53"/>
        <v>0.15</v>
      </c>
      <c r="Z85" s="2" t="str">
        <f t="shared" ca="1" si="54"/>
        <v>Em negociação</v>
      </c>
      <c r="AA85" s="8">
        <f t="shared" ca="1" si="55"/>
        <v>5</v>
      </c>
      <c r="AB85" s="2">
        <f t="shared" ca="1" si="56"/>
        <v>15</v>
      </c>
      <c r="AC85" s="2">
        <f t="shared" ca="1" si="57"/>
        <v>10</v>
      </c>
    </row>
    <row r="86" spans="1:29" x14ac:dyDescent="0.25">
      <c r="A86" s="14" t="str">
        <f t="shared" si="29"/>
        <v>VND-00086</v>
      </c>
      <c r="B86" s="5">
        <f t="shared" ca="1" si="30"/>
        <v>45519</v>
      </c>
      <c r="C86" s="2">
        <f t="shared" ca="1" si="31"/>
        <v>2024</v>
      </c>
      <c r="D86" s="2" t="str">
        <f t="shared" ca="1" si="32"/>
        <v>agosto</v>
      </c>
      <c r="E86" s="2" t="str">
        <f t="shared" ca="1" si="33"/>
        <v>2024/08</v>
      </c>
      <c r="F86" s="14" t="str">
        <f t="shared" ca="1" si="34"/>
        <v>CLI-9086</v>
      </c>
      <c r="G86" s="2" t="str">
        <f t="shared" ca="1" si="35"/>
        <v>João</v>
      </c>
      <c r="H86" s="2" t="str">
        <f t="shared" ca="1" si="36"/>
        <v>Novo</v>
      </c>
      <c r="I86" s="2" t="str">
        <f t="shared" ca="1" si="37"/>
        <v>Carla</v>
      </c>
      <c r="J86" s="14" t="str">
        <f t="shared" ca="1" si="38"/>
        <v>VCL-4664</v>
      </c>
      <c r="K86" s="2" t="str">
        <f t="shared" ca="1" si="39"/>
        <v>Civic</v>
      </c>
      <c r="L86" s="2" t="str">
        <f t="shared" ca="1" si="40"/>
        <v>Honda</v>
      </c>
      <c r="M86" s="2" t="str">
        <f t="shared" ca="1" si="41"/>
        <v>SUV</v>
      </c>
      <c r="N86" s="2">
        <f t="shared" ca="1" si="42"/>
        <v>2019</v>
      </c>
      <c r="O86" s="2" t="str">
        <f t="shared" ca="1" si="43"/>
        <v>Online</v>
      </c>
      <c r="P86" s="2" t="str">
        <f t="shared" ca="1" si="44"/>
        <v>Sul</v>
      </c>
      <c r="Q86" s="2" t="str">
        <f t="shared" ca="1" si="45"/>
        <v>PR</v>
      </c>
      <c r="R86" s="2" t="str">
        <f t="shared" ca="1" si="46"/>
        <v>Curitiba</v>
      </c>
      <c r="S86" s="8">
        <f t="shared" ca="1" si="47"/>
        <v>3</v>
      </c>
      <c r="T86" s="10">
        <f t="shared" ca="1" si="48"/>
        <v>146684</v>
      </c>
      <c r="U86" s="10">
        <f t="shared" ca="1" si="49"/>
        <v>112946.68000000001</v>
      </c>
      <c r="V86" s="10">
        <f t="shared" ca="1" si="50"/>
        <v>440052</v>
      </c>
      <c r="W86" s="10">
        <f t="shared" ca="1" si="51"/>
        <v>338840.04000000004</v>
      </c>
      <c r="X86" s="10">
        <f t="shared" ca="1" si="52"/>
        <v>101211.95999999996</v>
      </c>
      <c r="Y86" s="12">
        <f t="shared" ca="1" si="53"/>
        <v>0.22999999999999993</v>
      </c>
      <c r="Z86" s="2" t="str">
        <f t="shared" ca="1" si="54"/>
        <v>Em negociação</v>
      </c>
      <c r="AA86" s="8">
        <f t="shared" ca="1" si="55"/>
        <v>13</v>
      </c>
      <c r="AB86" s="2">
        <f t="shared" ca="1" si="56"/>
        <v>8</v>
      </c>
      <c r="AC86" s="2">
        <f t="shared" ca="1" si="57"/>
        <v>7</v>
      </c>
    </row>
    <row r="87" spans="1:29" x14ac:dyDescent="0.25">
      <c r="A87" s="14" t="str">
        <f t="shared" si="29"/>
        <v>VND-00087</v>
      </c>
      <c r="B87" s="5">
        <f t="shared" ca="1" si="30"/>
        <v>45310</v>
      </c>
      <c r="C87" s="2">
        <f t="shared" ca="1" si="31"/>
        <v>2024</v>
      </c>
      <c r="D87" s="2" t="str">
        <f t="shared" ca="1" si="32"/>
        <v>janeiro</v>
      </c>
      <c r="E87" s="2" t="str">
        <f t="shared" ca="1" si="33"/>
        <v>2024/01</v>
      </c>
      <c r="F87" s="14" t="str">
        <f t="shared" ca="1" si="34"/>
        <v>CLI-6939</v>
      </c>
      <c r="G87" s="2" t="str">
        <f t="shared" ca="1" si="35"/>
        <v>João</v>
      </c>
      <c r="H87" s="2" t="str">
        <f t="shared" ca="1" si="36"/>
        <v>Recorrente</v>
      </c>
      <c r="I87" s="2" t="str">
        <f t="shared" ca="1" si="37"/>
        <v>Pedro</v>
      </c>
      <c r="J87" s="14" t="str">
        <f t="shared" ca="1" si="38"/>
        <v>VCL-4429</v>
      </c>
      <c r="K87" s="2" t="str">
        <f t="shared" ca="1" si="39"/>
        <v>Onix</v>
      </c>
      <c r="L87" s="2" t="str">
        <f t="shared" ca="1" si="40"/>
        <v>Chevrolet</v>
      </c>
      <c r="M87" s="2" t="str">
        <f t="shared" ca="1" si="41"/>
        <v>Popular</v>
      </c>
      <c r="N87" s="2">
        <f t="shared" ca="1" si="42"/>
        <v>2024</v>
      </c>
      <c r="O87" s="2" t="str">
        <f t="shared" ca="1" si="43"/>
        <v>Loja</v>
      </c>
      <c r="P87" s="2" t="str">
        <f t="shared" ca="1" si="44"/>
        <v>Sudeste</v>
      </c>
      <c r="Q87" s="2" t="str">
        <f t="shared" ca="1" si="45"/>
        <v>ES</v>
      </c>
      <c r="R87" s="2" t="str">
        <f t="shared" ca="1" si="46"/>
        <v>Serra</v>
      </c>
      <c r="S87" s="8">
        <f t="shared" ca="1" si="47"/>
        <v>7</v>
      </c>
      <c r="T87" s="10">
        <f t="shared" ca="1" si="48"/>
        <v>243094</v>
      </c>
      <c r="U87" s="10">
        <f t="shared" ca="1" si="49"/>
        <v>189613.32</v>
      </c>
      <c r="V87" s="10">
        <f t="shared" ca="1" si="50"/>
        <v>1701658</v>
      </c>
      <c r="W87" s="10">
        <f t="shared" ca="1" si="51"/>
        <v>1327293.24</v>
      </c>
      <c r="X87" s="10">
        <f t="shared" ca="1" si="52"/>
        <v>374364.76</v>
      </c>
      <c r="Y87" s="12">
        <f t="shared" ca="1" si="53"/>
        <v>0.22</v>
      </c>
      <c r="Z87" s="2" t="str">
        <f t="shared" ca="1" si="54"/>
        <v>Em negociação</v>
      </c>
      <c r="AA87" s="8">
        <f t="shared" ca="1" si="55"/>
        <v>24</v>
      </c>
      <c r="AB87" s="2">
        <f t="shared" ca="1" si="56"/>
        <v>25</v>
      </c>
      <c r="AC87" s="2">
        <f t="shared" ca="1" si="57"/>
        <v>10</v>
      </c>
    </row>
    <row r="88" spans="1:29" x14ac:dyDescent="0.25">
      <c r="A88" s="14" t="str">
        <f t="shared" si="29"/>
        <v>VND-00088</v>
      </c>
      <c r="B88" s="5">
        <f t="shared" ca="1" si="30"/>
        <v>45497</v>
      </c>
      <c r="C88" s="2">
        <f t="shared" ca="1" si="31"/>
        <v>2024</v>
      </c>
      <c r="D88" s="2" t="str">
        <f t="shared" ca="1" si="32"/>
        <v>julho</v>
      </c>
      <c r="E88" s="2" t="str">
        <f t="shared" ca="1" si="33"/>
        <v>2024/07</v>
      </c>
      <c r="F88" s="14" t="str">
        <f t="shared" ca="1" si="34"/>
        <v>CLI-1497</v>
      </c>
      <c r="G88" s="2" t="str">
        <f t="shared" ca="1" si="35"/>
        <v>Ana</v>
      </c>
      <c r="H88" s="2" t="str">
        <f t="shared" ca="1" si="36"/>
        <v>Recorrente</v>
      </c>
      <c r="I88" s="2" t="str">
        <f t="shared" ca="1" si="37"/>
        <v>Vinicius</v>
      </c>
      <c r="J88" s="14" t="str">
        <f t="shared" ca="1" si="38"/>
        <v>VCL-1023</v>
      </c>
      <c r="K88" s="2" t="str">
        <f t="shared" ca="1" si="39"/>
        <v>BMW X1</v>
      </c>
      <c r="L88" s="2" t="str">
        <f t="shared" ca="1" si="40"/>
        <v>BMW</v>
      </c>
      <c r="M88" s="2" t="str">
        <f t="shared" ca="1" si="41"/>
        <v>Luxo</v>
      </c>
      <c r="N88" s="2">
        <f t="shared" ca="1" si="42"/>
        <v>2020</v>
      </c>
      <c r="O88" s="2" t="str">
        <f t="shared" ca="1" si="43"/>
        <v>Online</v>
      </c>
      <c r="P88" s="2" t="str">
        <f t="shared" ca="1" si="44"/>
        <v>Centro-Oeste</v>
      </c>
      <c r="Q88" s="2" t="str">
        <f t="shared" ca="1" si="45"/>
        <v>DF</v>
      </c>
      <c r="R88" s="2" t="str">
        <f t="shared" ca="1" si="46"/>
        <v>Brasília</v>
      </c>
      <c r="S88" s="8">
        <f t="shared" ca="1" si="47"/>
        <v>7</v>
      </c>
      <c r="T88" s="10">
        <f t="shared" ca="1" si="48"/>
        <v>71578</v>
      </c>
      <c r="U88" s="10">
        <f t="shared" ca="1" si="49"/>
        <v>55115.06</v>
      </c>
      <c r="V88" s="10">
        <f t="shared" ca="1" si="50"/>
        <v>501046</v>
      </c>
      <c r="W88" s="10">
        <f t="shared" ca="1" si="51"/>
        <v>385805.42</v>
      </c>
      <c r="X88" s="10">
        <f t="shared" ca="1" si="52"/>
        <v>115240.58000000002</v>
      </c>
      <c r="Y88" s="12">
        <f t="shared" ca="1" si="53"/>
        <v>0.23000000000000004</v>
      </c>
      <c r="Z88" s="2" t="str">
        <f t="shared" ca="1" si="54"/>
        <v>Em negociação</v>
      </c>
      <c r="AA88" s="8">
        <f t="shared" ca="1" si="55"/>
        <v>21</v>
      </c>
      <c r="AB88" s="2">
        <f t="shared" ca="1" si="56"/>
        <v>1</v>
      </c>
      <c r="AC88" s="2">
        <f t="shared" ca="1" si="57"/>
        <v>3</v>
      </c>
    </row>
    <row r="89" spans="1:29" x14ac:dyDescent="0.25">
      <c r="A89" s="14" t="str">
        <f t="shared" si="29"/>
        <v>VND-00089</v>
      </c>
      <c r="B89" s="5">
        <f t="shared" ca="1" si="30"/>
        <v>44970</v>
      </c>
      <c r="C89" s="2">
        <f t="shared" ca="1" si="31"/>
        <v>2023</v>
      </c>
      <c r="D89" s="2" t="str">
        <f t="shared" ca="1" si="32"/>
        <v>fevereiro</v>
      </c>
      <c r="E89" s="2" t="str">
        <f t="shared" ca="1" si="33"/>
        <v>2023/02</v>
      </c>
      <c r="F89" s="14" t="str">
        <f t="shared" ca="1" si="34"/>
        <v>CLI-6889</v>
      </c>
      <c r="G89" s="2" t="str">
        <f t="shared" ca="1" si="35"/>
        <v>Lucas</v>
      </c>
      <c r="H89" s="2" t="str">
        <f t="shared" ca="1" si="36"/>
        <v>Novo</v>
      </c>
      <c r="I89" s="2" t="str">
        <f t="shared" ca="1" si="37"/>
        <v>Maria</v>
      </c>
      <c r="J89" s="14" t="str">
        <f t="shared" ca="1" si="38"/>
        <v>VCL-1125</v>
      </c>
      <c r="K89" s="2" t="str">
        <f t="shared" ca="1" si="39"/>
        <v>Corolla</v>
      </c>
      <c r="L89" s="2" t="str">
        <f t="shared" ca="1" si="40"/>
        <v>Toyota</v>
      </c>
      <c r="M89" s="2" t="str">
        <f t="shared" ca="1" si="41"/>
        <v>SUV</v>
      </c>
      <c r="N89" s="2">
        <f t="shared" ca="1" si="42"/>
        <v>2024</v>
      </c>
      <c r="O89" s="2" t="str">
        <f t="shared" ca="1" si="43"/>
        <v>Loja</v>
      </c>
      <c r="P89" s="2" t="str">
        <f t="shared" ca="1" si="44"/>
        <v>Sudeste</v>
      </c>
      <c r="Q89" s="2" t="str">
        <f t="shared" ca="1" si="45"/>
        <v>RJ</v>
      </c>
      <c r="R89" s="2" t="str">
        <f t="shared" ca="1" si="46"/>
        <v>Nova Iguaçu</v>
      </c>
      <c r="S89" s="8">
        <f t="shared" ca="1" si="47"/>
        <v>8</v>
      </c>
      <c r="T89" s="10">
        <f t="shared" ca="1" si="48"/>
        <v>248962</v>
      </c>
      <c r="U89" s="10">
        <f t="shared" ca="1" si="49"/>
        <v>181742.26</v>
      </c>
      <c r="V89" s="10">
        <f t="shared" ca="1" si="50"/>
        <v>1991696</v>
      </c>
      <c r="W89" s="10">
        <f t="shared" ca="1" si="51"/>
        <v>1453938.08</v>
      </c>
      <c r="X89" s="10">
        <f t="shared" ca="1" si="52"/>
        <v>537757.91999999993</v>
      </c>
      <c r="Y89" s="12">
        <f t="shared" ca="1" si="53"/>
        <v>0.26999999999999996</v>
      </c>
      <c r="Z89" s="2" t="str">
        <f t="shared" ca="1" si="54"/>
        <v>Cancelada</v>
      </c>
      <c r="AA89" s="8">
        <f t="shared" ca="1" si="55"/>
        <v>3</v>
      </c>
      <c r="AB89" s="2">
        <f t="shared" ca="1" si="56"/>
        <v>14</v>
      </c>
      <c r="AC89" s="2">
        <f t="shared" ca="1" si="57"/>
        <v>7</v>
      </c>
    </row>
    <row r="90" spans="1:29" x14ac:dyDescent="0.25">
      <c r="A90" s="14" t="str">
        <f t="shared" si="29"/>
        <v>VND-00090</v>
      </c>
      <c r="B90" s="5">
        <f t="shared" ca="1" si="30"/>
        <v>45904</v>
      </c>
      <c r="C90" s="2">
        <f t="shared" ca="1" si="31"/>
        <v>2025</v>
      </c>
      <c r="D90" s="2" t="str">
        <f t="shared" ca="1" si="32"/>
        <v>setembro</v>
      </c>
      <c r="E90" s="2" t="str">
        <f t="shared" ca="1" si="33"/>
        <v>2025/09</v>
      </c>
      <c r="F90" s="14" t="str">
        <f t="shared" ca="1" si="34"/>
        <v>CLI-7511</v>
      </c>
      <c r="G90" s="2" t="str">
        <f t="shared" ca="1" si="35"/>
        <v>Fernanda</v>
      </c>
      <c r="H90" s="2" t="str">
        <f t="shared" ca="1" si="36"/>
        <v>Recorrente</v>
      </c>
      <c r="I90" s="2" t="str">
        <f t="shared" ca="1" si="37"/>
        <v>Pedro</v>
      </c>
      <c r="J90" s="14" t="str">
        <f t="shared" ca="1" si="38"/>
        <v>VCL-2653</v>
      </c>
      <c r="K90" s="2" t="str">
        <f t="shared" ca="1" si="39"/>
        <v>Compass</v>
      </c>
      <c r="L90" s="2" t="str">
        <f t="shared" ca="1" si="40"/>
        <v>Jeep</v>
      </c>
      <c r="M90" s="2" t="str">
        <f t="shared" ca="1" si="41"/>
        <v>SUV</v>
      </c>
      <c r="N90" s="2">
        <f t="shared" ca="1" si="42"/>
        <v>2020</v>
      </c>
      <c r="O90" s="2" t="str">
        <f t="shared" ca="1" si="43"/>
        <v>Loja</v>
      </c>
      <c r="P90" s="2" t="str">
        <f t="shared" ca="1" si="44"/>
        <v>Sudeste</v>
      </c>
      <c r="Q90" s="2" t="str">
        <f t="shared" ca="1" si="45"/>
        <v>SP</v>
      </c>
      <c r="R90" s="2" t="str">
        <f t="shared" ca="1" si="46"/>
        <v>Sorocaba</v>
      </c>
      <c r="S90" s="8">
        <f t="shared" ca="1" si="47"/>
        <v>2</v>
      </c>
      <c r="T90" s="10">
        <f t="shared" ca="1" si="48"/>
        <v>111110</v>
      </c>
      <c r="U90" s="10">
        <f t="shared" ca="1" si="49"/>
        <v>93332.4</v>
      </c>
      <c r="V90" s="10">
        <f t="shared" ca="1" si="50"/>
        <v>222220</v>
      </c>
      <c r="W90" s="10">
        <f t="shared" ca="1" si="51"/>
        <v>186664.8</v>
      </c>
      <c r="X90" s="10">
        <f t="shared" ca="1" si="52"/>
        <v>35555.200000000012</v>
      </c>
      <c r="Y90" s="12">
        <f t="shared" ca="1" si="53"/>
        <v>0.16000000000000006</v>
      </c>
      <c r="Z90" s="2" t="str">
        <f t="shared" ca="1" si="54"/>
        <v>Concluída</v>
      </c>
      <c r="AA90" s="8">
        <f t="shared" ca="1" si="55"/>
        <v>18</v>
      </c>
      <c r="AB90" s="2">
        <f t="shared" ca="1" si="56"/>
        <v>12</v>
      </c>
      <c r="AC90" s="2">
        <f t="shared" ca="1" si="57"/>
        <v>7</v>
      </c>
    </row>
    <row r="91" spans="1:29" x14ac:dyDescent="0.25">
      <c r="A91" s="14" t="str">
        <f t="shared" si="29"/>
        <v>VND-00091</v>
      </c>
      <c r="B91" s="5">
        <f t="shared" ca="1" si="30"/>
        <v>44986</v>
      </c>
      <c r="C91" s="2">
        <f t="shared" ca="1" si="31"/>
        <v>2023</v>
      </c>
      <c r="D91" s="2" t="str">
        <f t="shared" ca="1" si="32"/>
        <v>março</v>
      </c>
      <c r="E91" s="2" t="str">
        <f t="shared" ca="1" si="33"/>
        <v>2023/03</v>
      </c>
      <c r="F91" s="14" t="str">
        <f t="shared" ca="1" si="34"/>
        <v>CLI-3549</v>
      </c>
      <c r="G91" s="2" t="str">
        <f t="shared" ca="1" si="35"/>
        <v>Carlos</v>
      </c>
      <c r="H91" s="2" t="str">
        <f t="shared" ca="1" si="36"/>
        <v>Novo</v>
      </c>
      <c r="I91" s="2" t="str">
        <f t="shared" ca="1" si="37"/>
        <v>Maria</v>
      </c>
      <c r="J91" s="14" t="str">
        <f t="shared" ca="1" si="38"/>
        <v>VCL-8637</v>
      </c>
      <c r="K91" s="2" t="str">
        <f t="shared" ca="1" si="39"/>
        <v>Corolla</v>
      </c>
      <c r="L91" s="2" t="str">
        <f t="shared" ca="1" si="40"/>
        <v>Toyota</v>
      </c>
      <c r="M91" s="2" t="str">
        <f t="shared" ca="1" si="41"/>
        <v>SUV</v>
      </c>
      <c r="N91" s="2">
        <f t="shared" ca="1" si="42"/>
        <v>2024</v>
      </c>
      <c r="O91" s="2" t="str">
        <f t="shared" ca="1" si="43"/>
        <v>Loja</v>
      </c>
      <c r="P91" s="2" t="str">
        <f t="shared" ca="1" si="44"/>
        <v>Sudeste</v>
      </c>
      <c r="Q91" s="2" t="str">
        <f t="shared" ca="1" si="45"/>
        <v>ES</v>
      </c>
      <c r="R91" s="2" t="str">
        <f t="shared" ca="1" si="46"/>
        <v>Vitória</v>
      </c>
      <c r="S91" s="8">
        <f t="shared" ca="1" si="47"/>
        <v>3</v>
      </c>
      <c r="T91" s="10">
        <f t="shared" ca="1" si="48"/>
        <v>201917</v>
      </c>
      <c r="U91" s="10">
        <f t="shared" ca="1" si="49"/>
        <v>147399.41</v>
      </c>
      <c r="V91" s="10">
        <f t="shared" ca="1" si="50"/>
        <v>605751</v>
      </c>
      <c r="W91" s="10">
        <f t="shared" ca="1" si="51"/>
        <v>442198.23</v>
      </c>
      <c r="X91" s="10">
        <f t="shared" ca="1" si="52"/>
        <v>163552.77000000002</v>
      </c>
      <c r="Y91" s="12">
        <f t="shared" ca="1" si="53"/>
        <v>0.27</v>
      </c>
      <c r="Z91" s="2" t="str">
        <f t="shared" ca="1" si="54"/>
        <v>Cancelada</v>
      </c>
      <c r="AA91" s="8">
        <f t="shared" ca="1" si="55"/>
        <v>13</v>
      </c>
      <c r="AB91" s="2">
        <f t="shared" ca="1" si="56"/>
        <v>17</v>
      </c>
      <c r="AC91" s="2">
        <f t="shared" ca="1" si="57"/>
        <v>7</v>
      </c>
    </row>
    <row r="92" spans="1:29" x14ac:dyDescent="0.25">
      <c r="A92" s="14" t="str">
        <f t="shared" si="29"/>
        <v>VND-00092</v>
      </c>
      <c r="B92" s="5">
        <f t="shared" ca="1" si="30"/>
        <v>45978</v>
      </c>
      <c r="C92" s="2">
        <f t="shared" ca="1" si="31"/>
        <v>2025</v>
      </c>
      <c r="D92" s="2" t="str">
        <f t="shared" ca="1" si="32"/>
        <v>novembro</v>
      </c>
      <c r="E92" s="2" t="str">
        <f t="shared" ca="1" si="33"/>
        <v>2025/11</v>
      </c>
      <c r="F92" s="14" t="str">
        <f t="shared" ca="1" si="34"/>
        <v>CLI-2078</v>
      </c>
      <c r="G92" s="2" t="str">
        <f t="shared" ca="1" si="35"/>
        <v>João</v>
      </c>
      <c r="H92" s="2" t="str">
        <f t="shared" ca="1" si="36"/>
        <v>Recorrente</v>
      </c>
      <c r="I92" s="2" t="str">
        <f t="shared" ca="1" si="37"/>
        <v>Lucas</v>
      </c>
      <c r="J92" s="14" t="str">
        <f t="shared" ca="1" si="38"/>
        <v>VCL-2639</v>
      </c>
      <c r="K92" s="2" t="str">
        <f t="shared" ca="1" si="39"/>
        <v>HB20</v>
      </c>
      <c r="L92" s="2" t="str">
        <f t="shared" ca="1" si="40"/>
        <v>Hyundai</v>
      </c>
      <c r="M92" s="2" t="str">
        <f t="shared" ca="1" si="41"/>
        <v>Popular</v>
      </c>
      <c r="N92" s="2">
        <f t="shared" ca="1" si="42"/>
        <v>2021</v>
      </c>
      <c r="O92" s="2" t="str">
        <f t="shared" ca="1" si="43"/>
        <v>Loja</v>
      </c>
      <c r="P92" s="2" t="str">
        <f t="shared" ca="1" si="44"/>
        <v>Sudeste</v>
      </c>
      <c r="Q92" s="2" t="str">
        <f t="shared" ca="1" si="45"/>
        <v>SP</v>
      </c>
      <c r="R92" s="2" t="str">
        <f t="shared" ca="1" si="46"/>
        <v>Santos</v>
      </c>
      <c r="S92" s="8">
        <f t="shared" ca="1" si="47"/>
        <v>9</v>
      </c>
      <c r="T92" s="10">
        <f t="shared" ca="1" si="48"/>
        <v>187264</v>
      </c>
      <c r="U92" s="10">
        <f t="shared" ca="1" si="49"/>
        <v>147938.56</v>
      </c>
      <c r="V92" s="10">
        <f t="shared" ca="1" si="50"/>
        <v>1685376</v>
      </c>
      <c r="W92" s="10">
        <f t="shared" ca="1" si="51"/>
        <v>1331447.04</v>
      </c>
      <c r="X92" s="10">
        <f t="shared" ca="1" si="52"/>
        <v>353928.95999999996</v>
      </c>
      <c r="Y92" s="12">
        <f t="shared" ca="1" si="53"/>
        <v>0.20999999999999996</v>
      </c>
      <c r="Z92" s="2" t="str">
        <f t="shared" ca="1" si="54"/>
        <v>Concluída</v>
      </c>
      <c r="AA92" s="8">
        <f t="shared" ca="1" si="55"/>
        <v>7</v>
      </c>
      <c r="AB92" s="2">
        <f t="shared" ca="1" si="56"/>
        <v>12</v>
      </c>
      <c r="AC92" s="2">
        <f t="shared" ca="1" si="57"/>
        <v>10</v>
      </c>
    </row>
    <row r="93" spans="1:29" x14ac:dyDescent="0.25">
      <c r="A93" s="14" t="str">
        <f t="shared" si="29"/>
        <v>VND-00093</v>
      </c>
      <c r="B93" s="5">
        <f t="shared" ca="1" si="30"/>
        <v>45953</v>
      </c>
      <c r="C93" s="2">
        <f t="shared" ca="1" si="31"/>
        <v>2025</v>
      </c>
      <c r="D93" s="2" t="str">
        <f t="shared" ca="1" si="32"/>
        <v>outubro</v>
      </c>
      <c r="E93" s="2" t="str">
        <f t="shared" ca="1" si="33"/>
        <v>2025/10</v>
      </c>
      <c r="F93" s="14" t="str">
        <f t="shared" ca="1" si="34"/>
        <v>CLI-6203</v>
      </c>
      <c r="G93" s="2" t="str">
        <f t="shared" ca="1" si="35"/>
        <v>Juliana</v>
      </c>
      <c r="H93" s="2" t="str">
        <f t="shared" ca="1" si="36"/>
        <v>Recorrente</v>
      </c>
      <c r="I93" s="2" t="str">
        <f t="shared" ca="1" si="37"/>
        <v>Rafael</v>
      </c>
      <c r="J93" s="14" t="str">
        <f t="shared" ca="1" si="38"/>
        <v>VCL-7331</v>
      </c>
      <c r="K93" s="2" t="str">
        <f t="shared" ca="1" si="39"/>
        <v>Compass</v>
      </c>
      <c r="L93" s="2" t="str">
        <f t="shared" ca="1" si="40"/>
        <v>Jeep</v>
      </c>
      <c r="M93" s="2" t="str">
        <f t="shared" ca="1" si="41"/>
        <v>SUV</v>
      </c>
      <c r="N93" s="2">
        <f t="shared" ca="1" si="42"/>
        <v>2022</v>
      </c>
      <c r="O93" s="2" t="str">
        <f t="shared" ca="1" si="43"/>
        <v>Loja</v>
      </c>
      <c r="P93" s="2" t="str">
        <f t="shared" ca="1" si="44"/>
        <v>Sul</v>
      </c>
      <c r="Q93" s="2" t="str">
        <f t="shared" ca="1" si="45"/>
        <v>SC</v>
      </c>
      <c r="R93" s="2" t="str">
        <f t="shared" ca="1" si="46"/>
        <v>Florianópolis</v>
      </c>
      <c r="S93" s="8">
        <f t="shared" ca="1" si="47"/>
        <v>1</v>
      </c>
      <c r="T93" s="10">
        <f t="shared" ca="1" si="48"/>
        <v>237975</v>
      </c>
      <c r="U93" s="10">
        <f t="shared" ca="1" si="49"/>
        <v>199899</v>
      </c>
      <c r="V93" s="10">
        <f t="shared" ca="1" si="50"/>
        <v>237975</v>
      </c>
      <c r="W93" s="10">
        <f t="shared" ca="1" si="51"/>
        <v>199899</v>
      </c>
      <c r="X93" s="10">
        <f t="shared" ca="1" si="52"/>
        <v>38076</v>
      </c>
      <c r="Y93" s="12">
        <f t="shared" ca="1" si="53"/>
        <v>0.16</v>
      </c>
      <c r="Z93" s="2" t="str">
        <f t="shared" ca="1" si="54"/>
        <v>Em negociação</v>
      </c>
      <c r="AA93" s="8">
        <f t="shared" ca="1" si="55"/>
        <v>19</v>
      </c>
      <c r="AB93" s="2">
        <f t="shared" ca="1" si="56"/>
        <v>15</v>
      </c>
      <c r="AC93" s="2">
        <f t="shared" ca="1" si="57"/>
        <v>7</v>
      </c>
    </row>
    <row r="94" spans="1:29" x14ac:dyDescent="0.25">
      <c r="A94" s="14" t="str">
        <f t="shared" si="29"/>
        <v>VND-00094</v>
      </c>
      <c r="B94" s="5">
        <f t="shared" ca="1" si="30"/>
        <v>45038</v>
      </c>
      <c r="C94" s="2">
        <f t="shared" ca="1" si="31"/>
        <v>2023</v>
      </c>
      <c r="D94" s="2" t="str">
        <f t="shared" ca="1" si="32"/>
        <v>abril</v>
      </c>
      <c r="E94" s="2" t="str">
        <f t="shared" ca="1" si="33"/>
        <v>2023/04</v>
      </c>
      <c r="F94" s="14" t="str">
        <f t="shared" ca="1" si="34"/>
        <v>CLI-6476</v>
      </c>
      <c r="G94" s="2" t="str">
        <f t="shared" ca="1" si="35"/>
        <v>Carlos</v>
      </c>
      <c r="H94" s="2" t="str">
        <f t="shared" ca="1" si="36"/>
        <v>Recorrente</v>
      </c>
      <c r="I94" s="2" t="str">
        <f t="shared" ca="1" si="37"/>
        <v>Roberto</v>
      </c>
      <c r="J94" s="14" t="str">
        <f t="shared" ca="1" si="38"/>
        <v>VCL-3804</v>
      </c>
      <c r="K94" s="2" t="str">
        <f t="shared" ca="1" si="39"/>
        <v>Corolla</v>
      </c>
      <c r="L94" s="2" t="str">
        <f t="shared" ca="1" si="40"/>
        <v>Toyota</v>
      </c>
      <c r="M94" s="2" t="str">
        <f t="shared" ca="1" si="41"/>
        <v>SUV</v>
      </c>
      <c r="N94" s="2">
        <f t="shared" ca="1" si="42"/>
        <v>2019</v>
      </c>
      <c r="O94" s="2" t="str">
        <f t="shared" ca="1" si="43"/>
        <v>Online</v>
      </c>
      <c r="P94" s="2" t="str">
        <f t="shared" ca="1" si="44"/>
        <v>Nordeste</v>
      </c>
      <c r="Q94" s="2" t="str">
        <f t="shared" ca="1" si="45"/>
        <v>PE</v>
      </c>
      <c r="R94" s="2" t="str">
        <f t="shared" ca="1" si="46"/>
        <v>Petrolina</v>
      </c>
      <c r="S94" s="8">
        <f t="shared" ca="1" si="47"/>
        <v>1</v>
      </c>
      <c r="T94" s="10">
        <f t="shared" ca="1" si="48"/>
        <v>184860</v>
      </c>
      <c r="U94" s="10">
        <f t="shared" ca="1" si="49"/>
        <v>142342.20000000001</v>
      </c>
      <c r="V94" s="10">
        <f t="shared" ca="1" si="50"/>
        <v>184860</v>
      </c>
      <c r="W94" s="10">
        <f t="shared" ca="1" si="51"/>
        <v>142342.20000000001</v>
      </c>
      <c r="X94" s="10">
        <f t="shared" ca="1" si="52"/>
        <v>42517.799999999988</v>
      </c>
      <c r="Y94" s="12">
        <f t="shared" ca="1" si="53"/>
        <v>0.22999999999999993</v>
      </c>
      <c r="Z94" s="2" t="str">
        <f t="shared" ca="1" si="54"/>
        <v>Cancelada</v>
      </c>
      <c r="AA94" s="8">
        <f t="shared" ca="1" si="55"/>
        <v>27</v>
      </c>
      <c r="AB94" s="2">
        <f t="shared" ca="1" si="56"/>
        <v>16</v>
      </c>
      <c r="AC94" s="2">
        <f t="shared" ca="1" si="57"/>
        <v>7</v>
      </c>
    </row>
    <row r="95" spans="1:29" x14ac:dyDescent="0.25">
      <c r="A95" s="14" t="str">
        <f t="shared" si="29"/>
        <v>VND-00095</v>
      </c>
      <c r="B95" s="5">
        <f t="shared" ca="1" si="30"/>
        <v>45081</v>
      </c>
      <c r="C95" s="2">
        <f t="shared" ca="1" si="31"/>
        <v>2023</v>
      </c>
      <c r="D95" s="2" t="str">
        <f t="shared" ca="1" si="32"/>
        <v>junho</v>
      </c>
      <c r="E95" s="2" t="str">
        <f t="shared" ca="1" si="33"/>
        <v>2023/06</v>
      </c>
      <c r="F95" s="14" t="str">
        <f t="shared" ca="1" si="34"/>
        <v>CLI-4452</v>
      </c>
      <c r="G95" s="2" t="str">
        <f t="shared" ca="1" si="35"/>
        <v>Fernanda</v>
      </c>
      <c r="H95" s="2" t="str">
        <f t="shared" ca="1" si="36"/>
        <v>Novo</v>
      </c>
      <c r="I95" s="2" t="str">
        <f t="shared" ca="1" si="37"/>
        <v>Larissa</v>
      </c>
      <c r="J95" s="14" t="str">
        <f t="shared" ca="1" si="38"/>
        <v>VCL-2112</v>
      </c>
      <c r="K95" s="2" t="str">
        <f t="shared" ca="1" si="39"/>
        <v>BMW X1</v>
      </c>
      <c r="L95" s="2" t="str">
        <f t="shared" ca="1" si="40"/>
        <v>BMW</v>
      </c>
      <c r="M95" s="2" t="str">
        <f t="shared" ca="1" si="41"/>
        <v>Luxo</v>
      </c>
      <c r="N95" s="2">
        <f t="shared" ca="1" si="42"/>
        <v>2020</v>
      </c>
      <c r="O95" s="2" t="str">
        <f t="shared" ca="1" si="43"/>
        <v>Online</v>
      </c>
      <c r="P95" s="2" t="str">
        <f t="shared" ca="1" si="44"/>
        <v>Centro-Oeste</v>
      </c>
      <c r="Q95" s="2" t="str">
        <f t="shared" ca="1" si="45"/>
        <v>MT</v>
      </c>
      <c r="R95" s="2" t="str">
        <f t="shared" ca="1" si="46"/>
        <v>Sinop</v>
      </c>
      <c r="S95" s="8">
        <f t="shared" ca="1" si="47"/>
        <v>9</v>
      </c>
      <c r="T95" s="10">
        <f t="shared" ca="1" si="48"/>
        <v>172835</v>
      </c>
      <c r="U95" s="10">
        <f t="shared" ca="1" si="49"/>
        <v>141724.69999999998</v>
      </c>
      <c r="V95" s="10">
        <f t="shared" ca="1" si="50"/>
        <v>1555515</v>
      </c>
      <c r="W95" s="10">
        <f t="shared" ca="1" si="51"/>
        <v>1275522.2999999998</v>
      </c>
      <c r="X95" s="10">
        <f t="shared" ca="1" si="52"/>
        <v>279992.70000000019</v>
      </c>
      <c r="Y95" s="12">
        <f t="shared" ca="1" si="53"/>
        <v>0.18000000000000013</v>
      </c>
      <c r="Z95" s="2" t="str">
        <f t="shared" ca="1" si="54"/>
        <v>Concluída</v>
      </c>
      <c r="AA95" s="8">
        <f t="shared" ca="1" si="55"/>
        <v>7</v>
      </c>
      <c r="AB95" s="2">
        <f t="shared" ca="1" si="56"/>
        <v>6</v>
      </c>
      <c r="AC95" s="2">
        <f t="shared" ca="1" si="57"/>
        <v>3</v>
      </c>
    </row>
    <row r="96" spans="1:29" x14ac:dyDescent="0.25">
      <c r="A96" s="14" t="str">
        <f t="shared" si="29"/>
        <v>VND-00096</v>
      </c>
      <c r="B96" s="5">
        <f t="shared" ca="1" si="30"/>
        <v>45188</v>
      </c>
      <c r="C96" s="2">
        <f t="shared" ca="1" si="31"/>
        <v>2023</v>
      </c>
      <c r="D96" s="2" t="str">
        <f t="shared" ca="1" si="32"/>
        <v>setembro</v>
      </c>
      <c r="E96" s="2" t="str">
        <f t="shared" ca="1" si="33"/>
        <v>2023/09</v>
      </c>
      <c r="F96" s="14" t="str">
        <f t="shared" ca="1" si="34"/>
        <v>CLI-8922</v>
      </c>
      <c r="G96" s="2" t="str">
        <f t="shared" ca="1" si="35"/>
        <v>Rafael</v>
      </c>
      <c r="H96" s="2" t="str">
        <f t="shared" ca="1" si="36"/>
        <v>Novo</v>
      </c>
      <c r="I96" s="2" t="str">
        <f t="shared" ca="1" si="37"/>
        <v>Ricardo</v>
      </c>
      <c r="J96" s="14" t="str">
        <f t="shared" ca="1" si="38"/>
        <v>VCL-2434</v>
      </c>
      <c r="K96" s="2" t="str">
        <f t="shared" ca="1" si="39"/>
        <v>Civic</v>
      </c>
      <c r="L96" s="2" t="str">
        <f t="shared" ca="1" si="40"/>
        <v>Honda</v>
      </c>
      <c r="M96" s="2" t="str">
        <f t="shared" ca="1" si="41"/>
        <v>SUV</v>
      </c>
      <c r="N96" s="2">
        <f t="shared" ca="1" si="42"/>
        <v>2024</v>
      </c>
      <c r="O96" s="2" t="str">
        <f t="shared" ca="1" si="43"/>
        <v>Loja</v>
      </c>
      <c r="P96" s="2" t="str">
        <f t="shared" ca="1" si="44"/>
        <v>Norte</v>
      </c>
      <c r="Q96" s="2" t="str">
        <f t="shared" ca="1" si="45"/>
        <v>AM</v>
      </c>
      <c r="R96" s="2" t="str">
        <f t="shared" ca="1" si="46"/>
        <v>Manaus</v>
      </c>
      <c r="S96" s="8">
        <f t="shared" ca="1" si="47"/>
        <v>4</v>
      </c>
      <c r="T96" s="10">
        <f t="shared" ca="1" si="48"/>
        <v>92179</v>
      </c>
      <c r="U96" s="10">
        <f t="shared" ca="1" si="49"/>
        <v>75586.78</v>
      </c>
      <c r="V96" s="10">
        <f t="shared" ca="1" si="50"/>
        <v>368716</v>
      </c>
      <c r="W96" s="10">
        <f t="shared" ca="1" si="51"/>
        <v>302347.12</v>
      </c>
      <c r="X96" s="10">
        <f t="shared" ca="1" si="52"/>
        <v>66368.88</v>
      </c>
      <c r="Y96" s="12">
        <f t="shared" ca="1" si="53"/>
        <v>0.18000000000000002</v>
      </c>
      <c r="Z96" s="2" t="str">
        <f t="shared" ca="1" si="54"/>
        <v>Concluída</v>
      </c>
      <c r="AA96" s="8">
        <f t="shared" ca="1" si="55"/>
        <v>12</v>
      </c>
      <c r="AB96" s="2">
        <f t="shared" ca="1" si="56"/>
        <v>16</v>
      </c>
      <c r="AC96" s="2">
        <f t="shared" ca="1" si="57"/>
        <v>7</v>
      </c>
    </row>
    <row r="97" spans="1:29" x14ac:dyDescent="0.25">
      <c r="A97" s="14" t="str">
        <f t="shared" si="29"/>
        <v>VND-00097</v>
      </c>
      <c r="B97" s="5">
        <f t="shared" ca="1" si="30"/>
        <v>45537</v>
      </c>
      <c r="C97" s="2">
        <f t="shared" ca="1" si="31"/>
        <v>2024</v>
      </c>
      <c r="D97" s="2" t="str">
        <f t="shared" ca="1" si="32"/>
        <v>setembro</v>
      </c>
      <c r="E97" s="2" t="str">
        <f t="shared" ca="1" si="33"/>
        <v>2024/09</v>
      </c>
      <c r="F97" s="14" t="str">
        <f t="shared" ca="1" si="34"/>
        <v>CLI-1416</v>
      </c>
      <c r="G97" s="2" t="str">
        <f t="shared" ca="1" si="35"/>
        <v>Carlos</v>
      </c>
      <c r="H97" s="2" t="str">
        <f t="shared" ca="1" si="36"/>
        <v>Novo</v>
      </c>
      <c r="I97" s="2" t="str">
        <f t="shared" ca="1" si="37"/>
        <v>Carla</v>
      </c>
      <c r="J97" s="14" t="str">
        <f t="shared" ca="1" si="38"/>
        <v>VCL-3593</v>
      </c>
      <c r="K97" s="2" t="str">
        <f t="shared" ca="1" si="39"/>
        <v>Civic</v>
      </c>
      <c r="L97" s="2" t="str">
        <f t="shared" ca="1" si="40"/>
        <v>Honda</v>
      </c>
      <c r="M97" s="2" t="str">
        <f t="shared" ca="1" si="41"/>
        <v>SUV</v>
      </c>
      <c r="N97" s="2">
        <f t="shared" ca="1" si="42"/>
        <v>2023</v>
      </c>
      <c r="O97" s="2" t="str">
        <f t="shared" ca="1" si="43"/>
        <v>Online</v>
      </c>
      <c r="P97" s="2" t="str">
        <f t="shared" ca="1" si="44"/>
        <v>Sul</v>
      </c>
      <c r="Q97" s="2" t="str">
        <f t="shared" ca="1" si="45"/>
        <v>SC</v>
      </c>
      <c r="R97" s="2" t="str">
        <f t="shared" ca="1" si="46"/>
        <v>Florianópolis</v>
      </c>
      <c r="S97" s="8">
        <f t="shared" ca="1" si="47"/>
        <v>3</v>
      </c>
      <c r="T97" s="10">
        <f t="shared" ca="1" si="48"/>
        <v>110926</v>
      </c>
      <c r="U97" s="10">
        <f t="shared" ca="1" si="49"/>
        <v>79866.720000000001</v>
      </c>
      <c r="V97" s="10">
        <f t="shared" ca="1" si="50"/>
        <v>332778</v>
      </c>
      <c r="W97" s="10">
        <f t="shared" ca="1" si="51"/>
        <v>239600.16</v>
      </c>
      <c r="X97" s="10">
        <f t="shared" ca="1" si="52"/>
        <v>93177.84</v>
      </c>
      <c r="Y97" s="12">
        <f t="shared" ca="1" si="53"/>
        <v>0.27999999999999997</v>
      </c>
      <c r="Z97" s="2" t="str">
        <f t="shared" ca="1" si="54"/>
        <v>Concluída</v>
      </c>
      <c r="AA97" s="8">
        <f t="shared" ca="1" si="55"/>
        <v>8</v>
      </c>
      <c r="AB97" s="2">
        <f t="shared" ca="1" si="56"/>
        <v>15</v>
      </c>
      <c r="AC97" s="2">
        <f t="shared" ca="1" si="57"/>
        <v>7</v>
      </c>
    </row>
    <row r="98" spans="1:29" x14ac:dyDescent="0.25">
      <c r="A98" s="14" t="str">
        <f t="shared" si="29"/>
        <v>VND-00098</v>
      </c>
      <c r="B98" s="5">
        <f t="shared" ca="1" si="30"/>
        <v>45141</v>
      </c>
      <c r="C98" s="2">
        <f t="shared" ca="1" si="31"/>
        <v>2023</v>
      </c>
      <c r="D98" s="2" t="str">
        <f t="shared" ca="1" si="32"/>
        <v>agosto</v>
      </c>
      <c r="E98" s="2" t="str">
        <f t="shared" ca="1" si="33"/>
        <v>2023/08</v>
      </c>
      <c r="F98" s="14" t="str">
        <f t="shared" ca="1" si="34"/>
        <v>CLI-8375</v>
      </c>
      <c r="G98" s="2" t="str">
        <f t="shared" ca="1" si="35"/>
        <v>Carlos</v>
      </c>
      <c r="H98" s="2" t="str">
        <f t="shared" ca="1" si="36"/>
        <v>Novo</v>
      </c>
      <c r="I98" s="2" t="str">
        <f t="shared" ca="1" si="37"/>
        <v>Eduardo</v>
      </c>
      <c r="J98" s="14" t="str">
        <f t="shared" ca="1" si="38"/>
        <v>VCL-3812</v>
      </c>
      <c r="K98" s="2" t="str">
        <f t="shared" ca="1" si="39"/>
        <v>Corolla</v>
      </c>
      <c r="L98" s="2" t="str">
        <f t="shared" ca="1" si="40"/>
        <v>Toyota</v>
      </c>
      <c r="M98" s="2" t="str">
        <f t="shared" ca="1" si="41"/>
        <v>SUV</v>
      </c>
      <c r="N98" s="2">
        <f t="shared" ca="1" si="42"/>
        <v>2016</v>
      </c>
      <c r="O98" s="2" t="str">
        <f t="shared" ca="1" si="43"/>
        <v>Online</v>
      </c>
      <c r="P98" s="2" t="str">
        <f t="shared" ca="1" si="44"/>
        <v>Centro-Oeste</v>
      </c>
      <c r="Q98" s="2" t="str">
        <f t="shared" ca="1" si="45"/>
        <v>MT</v>
      </c>
      <c r="R98" s="2" t="str">
        <f t="shared" ca="1" si="46"/>
        <v>Rondonópolis</v>
      </c>
      <c r="S98" s="8">
        <f t="shared" ca="1" si="47"/>
        <v>3</v>
      </c>
      <c r="T98" s="10">
        <f t="shared" ca="1" si="48"/>
        <v>110764</v>
      </c>
      <c r="U98" s="10">
        <f t="shared" ca="1" si="49"/>
        <v>80857.72</v>
      </c>
      <c r="V98" s="10">
        <f t="shared" ca="1" si="50"/>
        <v>332292</v>
      </c>
      <c r="W98" s="10">
        <f t="shared" ca="1" si="51"/>
        <v>242573.16</v>
      </c>
      <c r="X98" s="10">
        <f t="shared" ca="1" si="52"/>
        <v>89718.84</v>
      </c>
      <c r="Y98" s="12">
        <f t="shared" ca="1" si="53"/>
        <v>0.26999999999999996</v>
      </c>
      <c r="Z98" s="2" t="str">
        <f t="shared" ca="1" si="54"/>
        <v>Em negociação</v>
      </c>
      <c r="AA98" s="8">
        <f t="shared" ca="1" si="55"/>
        <v>27</v>
      </c>
      <c r="AB98" s="2">
        <f t="shared" ca="1" si="56"/>
        <v>14</v>
      </c>
      <c r="AC98" s="2">
        <f t="shared" ca="1" si="57"/>
        <v>7</v>
      </c>
    </row>
    <row r="99" spans="1:29" x14ac:dyDescent="0.25">
      <c r="A99" s="14" t="str">
        <f t="shared" si="29"/>
        <v>VND-00099</v>
      </c>
      <c r="B99" s="5">
        <f t="shared" ca="1" si="30"/>
        <v>45526</v>
      </c>
      <c r="C99" s="2">
        <f t="shared" ca="1" si="31"/>
        <v>2024</v>
      </c>
      <c r="D99" s="2" t="str">
        <f t="shared" ca="1" si="32"/>
        <v>agosto</v>
      </c>
      <c r="E99" s="2" t="str">
        <f t="shared" ca="1" si="33"/>
        <v>2024/08</v>
      </c>
      <c r="F99" s="14" t="str">
        <f t="shared" ca="1" si="34"/>
        <v>CLI-8186</v>
      </c>
      <c r="G99" s="2" t="str">
        <f t="shared" ca="1" si="35"/>
        <v>Maria</v>
      </c>
      <c r="H99" s="2" t="str">
        <f t="shared" ca="1" si="36"/>
        <v>Recorrente</v>
      </c>
      <c r="I99" s="2" t="str">
        <f t="shared" ca="1" si="37"/>
        <v>Vinicius</v>
      </c>
      <c r="J99" s="14" t="str">
        <f t="shared" ca="1" si="38"/>
        <v>VCL-8200</v>
      </c>
      <c r="K99" s="2" t="str">
        <f t="shared" ca="1" si="39"/>
        <v>Corolla</v>
      </c>
      <c r="L99" s="2" t="str">
        <f t="shared" ca="1" si="40"/>
        <v>Toyota</v>
      </c>
      <c r="M99" s="2" t="str">
        <f t="shared" ca="1" si="41"/>
        <v>SUV</v>
      </c>
      <c r="N99" s="2">
        <f t="shared" ca="1" si="42"/>
        <v>2017</v>
      </c>
      <c r="O99" s="2" t="str">
        <f t="shared" ca="1" si="43"/>
        <v>Loja</v>
      </c>
      <c r="P99" s="2" t="str">
        <f t="shared" ca="1" si="44"/>
        <v>Centro-Oeste</v>
      </c>
      <c r="Q99" s="2" t="str">
        <f t="shared" ca="1" si="45"/>
        <v>DF</v>
      </c>
      <c r="R99" s="2" t="str">
        <f t="shared" ca="1" si="46"/>
        <v>Brasília</v>
      </c>
      <c r="S99" s="8">
        <f t="shared" ca="1" si="47"/>
        <v>9</v>
      </c>
      <c r="T99" s="10">
        <f t="shared" ca="1" si="48"/>
        <v>134893</v>
      </c>
      <c r="U99" s="10">
        <f t="shared" ca="1" si="49"/>
        <v>110612.26</v>
      </c>
      <c r="V99" s="10">
        <f t="shared" ca="1" si="50"/>
        <v>1214037</v>
      </c>
      <c r="W99" s="10">
        <f t="shared" ca="1" si="51"/>
        <v>995510.34</v>
      </c>
      <c r="X99" s="10">
        <f t="shared" ca="1" si="52"/>
        <v>218526.66000000003</v>
      </c>
      <c r="Y99" s="12">
        <f t="shared" ca="1" si="53"/>
        <v>0.18000000000000002</v>
      </c>
      <c r="Z99" s="2" t="str">
        <f t="shared" ca="1" si="54"/>
        <v>Concluída</v>
      </c>
      <c r="AA99" s="8">
        <f t="shared" ca="1" si="55"/>
        <v>11</v>
      </c>
      <c r="AB99" s="2">
        <f t="shared" ca="1" si="56"/>
        <v>6</v>
      </c>
      <c r="AC99" s="2">
        <f t="shared" ca="1" si="57"/>
        <v>7</v>
      </c>
    </row>
    <row r="100" spans="1:29" x14ac:dyDescent="0.25">
      <c r="A100" s="14" t="str">
        <f t="shared" si="29"/>
        <v>VND-00100</v>
      </c>
      <c r="B100" s="5">
        <f t="shared" ca="1" si="30"/>
        <v>45068</v>
      </c>
      <c r="C100" s="2">
        <f t="shared" ca="1" si="31"/>
        <v>2023</v>
      </c>
      <c r="D100" s="2" t="str">
        <f t="shared" ca="1" si="32"/>
        <v>maio</v>
      </c>
      <c r="E100" s="2" t="str">
        <f t="shared" ca="1" si="33"/>
        <v>2023/05</v>
      </c>
      <c r="F100" s="14" t="str">
        <f t="shared" ca="1" si="34"/>
        <v>CLI-6783</v>
      </c>
      <c r="G100" s="2" t="str">
        <f t="shared" ca="1" si="35"/>
        <v>Maria</v>
      </c>
      <c r="H100" s="2" t="str">
        <f t="shared" ca="1" si="36"/>
        <v>Novo</v>
      </c>
      <c r="I100" s="2" t="str">
        <f t="shared" ca="1" si="37"/>
        <v>André</v>
      </c>
      <c r="J100" s="14" t="str">
        <f t="shared" ca="1" si="38"/>
        <v>VCL-6617</v>
      </c>
      <c r="K100" s="2" t="str">
        <f t="shared" ca="1" si="39"/>
        <v>Onix</v>
      </c>
      <c r="L100" s="2" t="str">
        <f t="shared" ca="1" si="40"/>
        <v>Chevrolet</v>
      </c>
      <c r="M100" s="2" t="str">
        <f t="shared" ca="1" si="41"/>
        <v>Popular</v>
      </c>
      <c r="N100" s="2">
        <f t="shared" ca="1" si="42"/>
        <v>2022</v>
      </c>
      <c r="O100" s="2" t="str">
        <f t="shared" ca="1" si="43"/>
        <v>Online</v>
      </c>
      <c r="P100" s="2" t="str">
        <f t="shared" ca="1" si="44"/>
        <v>Nordeste</v>
      </c>
      <c r="Q100" s="2" t="str">
        <f t="shared" ca="1" si="45"/>
        <v>BA</v>
      </c>
      <c r="R100" s="2" t="str">
        <f t="shared" ca="1" si="46"/>
        <v>Ilhéus</v>
      </c>
      <c r="S100" s="8">
        <f t="shared" ca="1" si="47"/>
        <v>6</v>
      </c>
      <c r="T100" s="10">
        <f t="shared" ca="1" si="48"/>
        <v>110234</v>
      </c>
      <c r="U100" s="10">
        <f t="shared" ca="1" si="49"/>
        <v>87084.86</v>
      </c>
      <c r="V100" s="10">
        <f t="shared" ca="1" si="50"/>
        <v>661404</v>
      </c>
      <c r="W100" s="10">
        <f t="shared" ca="1" si="51"/>
        <v>522509.16000000003</v>
      </c>
      <c r="X100" s="10">
        <f t="shared" ca="1" si="52"/>
        <v>138894.83999999997</v>
      </c>
      <c r="Y100" s="12">
        <f t="shared" ca="1" si="53"/>
        <v>0.20999999999999996</v>
      </c>
      <c r="Z100" s="2" t="str">
        <f t="shared" ca="1" si="54"/>
        <v>Em negociação</v>
      </c>
      <c r="AA100" s="8">
        <f t="shared" ca="1" si="55"/>
        <v>12</v>
      </c>
      <c r="AB100" s="2">
        <f t="shared" ca="1" si="56"/>
        <v>14</v>
      </c>
      <c r="AC100" s="2">
        <f t="shared" ca="1" si="57"/>
        <v>10</v>
      </c>
    </row>
    <row r="101" spans="1:29" x14ac:dyDescent="0.25">
      <c r="A101" s="14" t="str">
        <f t="shared" si="29"/>
        <v>VND-00101</v>
      </c>
      <c r="B101" s="5">
        <f t="shared" ca="1" si="30"/>
        <v>45531</v>
      </c>
      <c r="C101" s="2">
        <f t="shared" ca="1" si="31"/>
        <v>2024</v>
      </c>
      <c r="D101" s="2" t="str">
        <f t="shared" ca="1" si="32"/>
        <v>agosto</v>
      </c>
      <c r="E101" s="2" t="str">
        <f t="shared" ca="1" si="33"/>
        <v>2024/08</v>
      </c>
      <c r="F101" s="14" t="str">
        <f t="shared" ca="1" si="34"/>
        <v>CLI-9406</v>
      </c>
      <c r="G101" s="2" t="str">
        <f t="shared" ca="1" si="35"/>
        <v>Juliana</v>
      </c>
      <c r="H101" s="2" t="str">
        <f t="shared" ca="1" si="36"/>
        <v>Novo</v>
      </c>
      <c r="I101" s="2" t="str">
        <f t="shared" ca="1" si="37"/>
        <v>André</v>
      </c>
      <c r="J101" s="14" t="str">
        <f t="shared" ca="1" si="38"/>
        <v>VCL-9596</v>
      </c>
      <c r="K101" s="2" t="str">
        <f t="shared" ca="1" si="39"/>
        <v>Civic</v>
      </c>
      <c r="L101" s="2" t="str">
        <f t="shared" ca="1" si="40"/>
        <v>Honda</v>
      </c>
      <c r="M101" s="2" t="str">
        <f t="shared" ca="1" si="41"/>
        <v>SUV</v>
      </c>
      <c r="N101" s="2">
        <f t="shared" ca="1" si="42"/>
        <v>2021</v>
      </c>
      <c r="O101" s="2" t="str">
        <f t="shared" ca="1" si="43"/>
        <v>Loja</v>
      </c>
      <c r="P101" s="2" t="str">
        <f t="shared" ca="1" si="44"/>
        <v>Nordeste</v>
      </c>
      <c r="Q101" s="2" t="str">
        <f t="shared" ca="1" si="45"/>
        <v>CE</v>
      </c>
      <c r="R101" s="2" t="str">
        <f t="shared" ca="1" si="46"/>
        <v>Juazeiro do Norte</v>
      </c>
      <c r="S101" s="8">
        <f t="shared" ca="1" si="47"/>
        <v>8</v>
      </c>
      <c r="T101" s="10">
        <f t="shared" ca="1" si="48"/>
        <v>229388</v>
      </c>
      <c r="U101" s="10">
        <f t="shared" ca="1" si="49"/>
        <v>162865.47999999998</v>
      </c>
      <c r="V101" s="10">
        <f t="shared" ca="1" si="50"/>
        <v>1835104</v>
      </c>
      <c r="W101" s="10">
        <f t="shared" ca="1" si="51"/>
        <v>1302923.8399999999</v>
      </c>
      <c r="X101" s="10">
        <f t="shared" ca="1" si="52"/>
        <v>532180.16000000015</v>
      </c>
      <c r="Y101" s="12">
        <f t="shared" ca="1" si="53"/>
        <v>0.29000000000000009</v>
      </c>
      <c r="Z101" s="2" t="str">
        <f t="shared" ca="1" si="54"/>
        <v>Em negociação</v>
      </c>
      <c r="AA101" s="8">
        <f t="shared" ca="1" si="55"/>
        <v>21</v>
      </c>
      <c r="AB101" s="2">
        <f t="shared" ca="1" si="56"/>
        <v>11</v>
      </c>
      <c r="AC101" s="2">
        <f t="shared" ca="1" si="57"/>
        <v>7</v>
      </c>
    </row>
    <row r="102" spans="1:29" x14ac:dyDescent="0.25">
      <c r="A102" s="14" t="str">
        <f t="shared" si="29"/>
        <v>VND-00102</v>
      </c>
      <c r="B102" s="5">
        <f t="shared" ca="1" si="30"/>
        <v>45754</v>
      </c>
      <c r="C102" s="2">
        <f t="shared" ca="1" si="31"/>
        <v>2025</v>
      </c>
      <c r="D102" s="2" t="str">
        <f t="shared" ca="1" si="32"/>
        <v>abril</v>
      </c>
      <c r="E102" s="2" t="str">
        <f t="shared" ca="1" si="33"/>
        <v>2025/04</v>
      </c>
      <c r="F102" s="14" t="str">
        <f t="shared" ca="1" si="34"/>
        <v>CLI-3460</v>
      </c>
      <c r="G102" s="2" t="str">
        <f t="shared" ca="1" si="35"/>
        <v>Maria</v>
      </c>
      <c r="H102" s="2" t="str">
        <f t="shared" ca="1" si="36"/>
        <v>Novo</v>
      </c>
      <c r="I102" s="2" t="str">
        <f t="shared" ca="1" si="37"/>
        <v>Patricia</v>
      </c>
      <c r="J102" s="14" t="str">
        <f t="shared" ca="1" si="38"/>
        <v>VCL-7477</v>
      </c>
      <c r="K102" s="2" t="str">
        <f t="shared" ca="1" si="39"/>
        <v>Corolla</v>
      </c>
      <c r="L102" s="2" t="str">
        <f t="shared" ca="1" si="40"/>
        <v>Toyota</v>
      </c>
      <c r="M102" s="2" t="str">
        <f t="shared" ca="1" si="41"/>
        <v>SUV</v>
      </c>
      <c r="N102" s="2">
        <f t="shared" ca="1" si="42"/>
        <v>2021</v>
      </c>
      <c r="O102" s="2" t="str">
        <f t="shared" ca="1" si="43"/>
        <v>Online</v>
      </c>
      <c r="P102" s="2" t="str">
        <f t="shared" ca="1" si="44"/>
        <v>Nordeste</v>
      </c>
      <c r="Q102" s="2" t="str">
        <f t="shared" ca="1" si="45"/>
        <v>CE</v>
      </c>
      <c r="R102" s="2" t="str">
        <f t="shared" ca="1" si="46"/>
        <v>Caucaia</v>
      </c>
      <c r="S102" s="8">
        <f t="shared" ca="1" si="47"/>
        <v>10</v>
      </c>
      <c r="T102" s="10">
        <f t="shared" ca="1" si="48"/>
        <v>196635</v>
      </c>
      <c r="U102" s="10">
        <f t="shared" ca="1" si="49"/>
        <v>141577.19999999998</v>
      </c>
      <c r="V102" s="10">
        <f t="shared" ca="1" si="50"/>
        <v>1966350</v>
      </c>
      <c r="W102" s="10">
        <f t="shared" ca="1" si="51"/>
        <v>1415771.9999999998</v>
      </c>
      <c r="X102" s="10">
        <f t="shared" ca="1" si="52"/>
        <v>550578.00000000023</v>
      </c>
      <c r="Y102" s="12">
        <f t="shared" ca="1" si="53"/>
        <v>0.28000000000000014</v>
      </c>
      <c r="Z102" s="2" t="str">
        <f t="shared" ca="1" si="54"/>
        <v>Cancelada</v>
      </c>
      <c r="AA102" s="8">
        <f t="shared" ca="1" si="55"/>
        <v>28</v>
      </c>
      <c r="AB102" s="2">
        <f t="shared" ca="1" si="56"/>
        <v>16</v>
      </c>
      <c r="AC102" s="2">
        <f t="shared" ca="1" si="57"/>
        <v>7</v>
      </c>
    </row>
    <row r="103" spans="1:29" x14ac:dyDescent="0.25">
      <c r="A103" s="14" t="str">
        <f t="shared" si="29"/>
        <v>VND-00103</v>
      </c>
      <c r="B103" s="5">
        <f t="shared" ca="1" si="30"/>
        <v>45642</v>
      </c>
      <c r="C103" s="2">
        <f t="shared" ca="1" si="31"/>
        <v>2024</v>
      </c>
      <c r="D103" s="2" t="str">
        <f t="shared" ca="1" si="32"/>
        <v>dezembro</v>
      </c>
      <c r="E103" s="2" t="str">
        <f t="shared" ca="1" si="33"/>
        <v>2024/12</v>
      </c>
      <c r="F103" s="14" t="str">
        <f t="shared" ca="1" si="34"/>
        <v>CLI-6985</v>
      </c>
      <c r="G103" s="2" t="str">
        <f t="shared" ca="1" si="35"/>
        <v>Ana</v>
      </c>
      <c r="H103" s="2" t="str">
        <f t="shared" ca="1" si="36"/>
        <v>Novo</v>
      </c>
      <c r="I103" s="2" t="str">
        <f t="shared" ca="1" si="37"/>
        <v>Tatiane</v>
      </c>
      <c r="J103" s="14" t="str">
        <f t="shared" ca="1" si="38"/>
        <v>VCL-3877</v>
      </c>
      <c r="K103" s="2" t="str">
        <f t="shared" ca="1" si="39"/>
        <v>Corolla</v>
      </c>
      <c r="L103" s="2" t="str">
        <f t="shared" ca="1" si="40"/>
        <v>Toyota</v>
      </c>
      <c r="M103" s="2" t="str">
        <f t="shared" ca="1" si="41"/>
        <v>SUV</v>
      </c>
      <c r="N103" s="2">
        <f t="shared" ca="1" si="42"/>
        <v>2021</v>
      </c>
      <c r="O103" s="2" t="str">
        <f t="shared" ca="1" si="43"/>
        <v>Loja</v>
      </c>
      <c r="P103" s="2" t="str">
        <f t="shared" ca="1" si="44"/>
        <v>Norte</v>
      </c>
      <c r="Q103" s="2" t="str">
        <f t="shared" ca="1" si="45"/>
        <v>PA</v>
      </c>
      <c r="R103" s="2" t="str">
        <f t="shared" ca="1" si="46"/>
        <v>Belém</v>
      </c>
      <c r="S103" s="8">
        <f t="shared" ca="1" si="47"/>
        <v>8</v>
      </c>
      <c r="T103" s="10">
        <f t="shared" ca="1" si="48"/>
        <v>244940</v>
      </c>
      <c r="U103" s="10">
        <f t="shared" ca="1" si="49"/>
        <v>181255.6</v>
      </c>
      <c r="V103" s="10">
        <f t="shared" ca="1" si="50"/>
        <v>1959520</v>
      </c>
      <c r="W103" s="10">
        <f t="shared" ca="1" si="51"/>
        <v>1450044.8</v>
      </c>
      <c r="X103" s="10">
        <f t="shared" ca="1" si="52"/>
        <v>509475.19999999995</v>
      </c>
      <c r="Y103" s="12">
        <f t="shared" ca="1" si="53"/>
        <v>0.25999999999999995</v>
      </c>
      <c r="Z103" s="2" t="str">
        <f t="shared" ca="1" si="54"/>
        <v>Concluída</v>
      </c>
      <c r="AA103" s="8">
        <f t="shared" ca="1" si="55"/>
        <v>18</v>
      </c>
      <c r="AB103" s="2">
        <f t="shared" ca="1" si="56"/>
        <v>17</v>
      </c>
      <c r="AC103" s="2">
        <f t="shared" ca="1" si="57"/>
        <v>7</v>
      </c>
    </row>
    <row r="104" spans="1:29" x14ac:dyDescent="0.25">
      <c r="A104" s="14" t="str">
        <f t="shared" si="29"/>
        <v>VND-00104</v>
      </c>
      <c r="B104" s="5">
        <f t="shared" ca="1" si="30"/>
        <v>44948</v>
      </c>
      <c r="C104" s="2">
        <f t="shared" ca="1" si="31"/>
        <v>2023</v>
      </c>
      <c r="D104" s="2" t="str">
        <f t="shared" ca="1" si="32"/>
        <v>janeiro</v>
      </c>
      <c r="E104" s="2" t="str">
        <f t="shared" ca="1" si="33"/>
        <v>2023/01</v>
      </c>
      <c r="F104" s="14" t="str">
        <f t="shared" ca="1" si="34"/>
        <v>CLI-8530</v>
      </c>
      <c r="G104" s="2" t="str">
        <f t="shared" ca="1" si="35"/>
        <v>Carlos</v>
      </c>
      <c r="H104" s="2" t="str">
        <f t="shared" ca="1" si="36"/>
        <v>Recorrente</v>
      </c>
      <c r="I104" s="2" t="str">
        <f t="shared" ca="1" si="37"/>
        <v>João</v>
      </c>
      <c r="J104" s="14" t="str">
        <f t="shared" ca="1" si="38"/>
        <v>VCL-3376</v>
      </c>
      <c r="K104" s="2" t="str">
        <f t="shared" ca="1" si="39"/>
        <v>Civic</v>
      </c>
      <c r="L104" s="2" t="str">
        <f t="shared" ca="1" si="40"/>
        <v>Honda</v>
      </c>
      <c r="M104" s="2" t="str">
        <f t="shared" ca="1" si="41"/>
        <v>SUV</v>
      </c>
      <c r="N104" s="2">
        <f t="shared" ca="1" si="42"/>
        <v>2024</v>
      </c>
      <c r="O104" s="2" t="str">
        <f t="shared" ca="1" si="43"/>
        <v>Loja</v>
      </c>
      <c r="P104" s="2" t="str">
        <f t="shared" ca="1" si="44"/>
        <v>Sudeste</v>
      </c>
      <c r="Q104" s="2" t="str">
        <f t="shared" ca="1" si="45"/>
        <v>MG</v>
      </c>
      <c r="R104" s="2" t="str">
        <f t="shared" ca="1" si="46"/>
        <v>Juiz de Fora</v>
      </c>
      <c r="S104" s="8">
        <f t="shared" ca="1" si="47"/>
        <v>1</v>
      </c>
      <c r="T104" s="10">
        <f t="shared" ca="1" si="48"/>
        <v>70728</v>
      </c>
      <c r="U104" s="10">
        <f t="shared" ca="1" si="49"/>
        <v>57289.68</v>
      </c>
      <c r="V104" s="10">
        <f t="shared" ca="1" si="50"/>
        <v>70728</v>
      </c>
      <c r="W104" s="10">
        <f t="shared" ca="1" si="51"/>
        <v>57289.68</v>
      </c>
      <c r="X104" s="10">
        <f t="shared" ca="1" si="52"/>
        <v>13438.32</v>
      </c>
      <c r="Y104" s="12">
        <f t="shared" ca="1" si="53"/>
        <v>0.19</v>
      </c>
      <c r="Z104" s="2" t="str">
        <f t="shared" ca="1" si="54"/>
        <v>Cancelada</v>
      </c>
      <c r="AA104" s="8">
        <f t="shared" ca="1" si="55"/>
        <v>7</v>
      </c>
      <c r="AB104" s="2">
        <f t="shared" ca="1" si="56"/>
        <v>8</v>
      </c>
      <c r="AC104" s="2">
        <f t="shared" ca="1" si="57"/>
        <v>7</v>
      </c>
    </row>
    <row r="105" spans="1:29" x14ac:dyDescent="0.25">
      <c r="A105" s="14" t="str">
        <f t="shared" si="29"/>
        <v>VND-00105</v>
      </c>
      <c r="B105" s="5">
        <f t="shared" ca="1" si="30"/>
        <v>45815</v>
      </c>
      <c r="C105" s="2">
        <f t="shared" ca="1" si="31"/>
        <v>2025</v>
      </c>
      <c r="D105" s="2" t="str">
        <f t="shared" ca="1" si="32"/>
        <v>junho</v>
      </c>
      <c r="E105" s="2" t="str">
        <f t="shared" ca="1" si="33"/>
        <v>2025/06</v>
      </c>
      <c r="F105" s="14" t="str">
        <f t="shared" ca="1" si="34"/>
        <v>CLI-2256</v>
      </c>
      <c r="G105" s="2" t="str">
        <f t="shared" ca="1" si="35"/>
        <v>João</v>
      </c>
      <c r="H105" s="2" t="str">
        <f t="shared" ca="1" si="36"/>
        <v>Novo</v>
      </c>
      <c r="I105" s="2" t="str">
        <f t="shared" ca="1" si="37"/>
        <v>Maria</v>
      </c>
      <c r="J105" s="14" t="str">
        <f t="shared" ca="1" si="38"/>
        <v>VCL-1254</v>
      </c>
      <c r="K105" s="2" t="str">
        <f t="shared" ca="1" si="39"/>
        <v>BMW X1</v>
      </c>
      <c r="L105" s="2" t="str">
        <f t="shared" ca="1" si="40"/>
        <v>BMW</v>
      </c>
      <c r="M105" s="2" t="str">
        <f t="shared" ca="1" si="41"/>
        <v>Luxo</v>
      </c>
      <c r="N105" s="2">
        <f t="shared" ca="1" si="42"/>
        <v>2016</v>
      </c>
      <c r="O105" s="2" t="str">
        <f t="shared" ca="1" si="43"/>
        <v>Loja</v>
      </c>
      <c r="P105" s="2" t="str">
        <f t="shared" ca="1" si="44"/>
        <v>Sudeste</v>
      </c>
      <c r="Q105" s="2" t="str">
        <f t="shared" ca="1" si="45"/>
        <v>ES</v>
      </c>
      <c r="R105" s="2" t="str">
        <f t="shared" ca="1" si="46"/>
        <v>Linhares</v>
      </c>
      <c r="S105" s="8">
        <f t="shared" ca="1" si="47"/>
        <v>2</v>
      </c>
      <c r="T105" s="10">
        <f t="shared" ca="1" si="48"/>
        <v>209302</v>
      </c>
      <c r="U105" s="10">
        <f t="shared" ca="1" si="49"/>
        <v>173720.66</v>
      </c>
      <c r="V105" s="10">
        <f t="shared" ca="1" si="50"/>
        <v>418604</v>
      </c>
      <c r="W105" s="10">
        <f t="shared" ca="1" si="51"/>
        <v>347441.32</v>
      </c>
      <c r="X105" s="10">
        <f t="shared" ca="1" si="52"/>
        <v>71162.679999999993</v>
      </c>
      <c r="Y105" s="12">
        <f t="shared" ca="1" si="53"/>
        <v>0.16999999999999998</v>
      </c>
      <c r="Z105" s="2" t="str">
        <f t="shared" ca="1" si="54"/>
        <v>Cancelada</v>
      </c>
      <c r="AA105" s="8">
        <f t="shared" ca="1" si="55"/>
        <v>10</v>
      </c>
      <c r="AB105" s="2">
        <f t="shared" ca="1" si="56"/>
        <v>0</v>
      </c>
      <c r="AC105" s="2">
        <f t="shared" ca="1" si="57"/>
        <v>3</v>
      </c>
    </row>
    <row r="106" spans="1:29" x14ac:dyDescent="0.25">
      <c r="A106" s="14" t="str">
        <f t="shared" si="29"/>
        <v>VND-00106</v>
      </c>
      <c r="B106" s="5">
        <f t="shared" ca="1" si="30"/>
        <v>45279</v>
      </c>
      <c r="C106" s="2">
        <f t="shared" ca="1" si="31"/>
        <v>2023</v>
      </c>
      <c r="D106" s="2" t="str">
        <f t="shared" ca="1" si="32"/>
        <v>dezembro</v>
      </c>
      <c r="E106" s="2" t="str">
        <f t="shared" ca="1" si="33"/>
        <v>2023/12</v>
      </c>
      <c r="F106" s="14" t="str">
        <f t="shared" ca="1" si="34"/>
        <v>CLI-9432</v>
      </c>
      <c r="G106" s="2" t="str">
        <f t="shared" ca="1" si="35"/>
        <v>Juliana</v>
      </c>
      <c r="H106" s="2" t="str">
        <f t="shared" ca="1" si="36"/>
        <v>Novo</v>
      </c>
      <c r="I106" s="2" t="str">
        <f t="shared" ca="1" si="37"/>
        <v>Lucas</v>
      </c>
      <c r="J106" s="14" t="str">
        <f t="shared" ca="1" si="38"/>
        <v>VCL-5234</v>
      </c>
      <c r="K106" s="2" t="str">
        <f t="shared" ca="1" si="39"/>
        <v>Compass</v>
      </c>
      <c r="L106" s="2" t="str">
        <f t="shared" ca="1" si="40"/>
        <v>Jeep</v>
      </c>
      <c r="M106" s="2" t="str">
        <f t="shared" ca="1" si="41"/>
        <v>SUV</v>
      </c>
      <c r="N106" s="2">
        <f t="shared" ca="1" si="42"/>
        <v>2024</v>
      </c>
      <c r="O106" s="2" t="str">
        <f t="shared" ca="1" si="43"/>
        <v>Online</v>
      </c>
      <c r="P106" s="2" t="str">
        <f t="shared" ca="1" si="44"/>
        <v>Sudeste</v>
      </c>
      <c r="Q106" s="2" t="str">
        <f t="shared" ca="1" si="45"/>
        <v>ES</v>
      </c>
      <c r="R106" s="2" t="str">
        <f t="shared" ca="1" si="46"/>
        <v>Linhares</v>
      </c>
      <c r="S106" s="8">
        <f t="shared" ca="1" si="47"/>
        <v>1</v>
      </c>
      <c r="T106" s="10">
        <f t="shared" ca="1" si="48"/>
        <v>199029</v>
      </c>
      <c r="U106" s="10">
        <f t="shared" ca="1" si="49"/>
        <v>157232.91</v>
      </c>
      <c r="V106" s="10">
        <f t="shared" ca="1" si="50"/>
        <v>199029</v>
      </c>
      <c r="W106" s="10">
        <f t="shared" ca="1" si="51"/>
        <v>157232.91</v>
      </c>
      <c r="X106" s="10">
        <f t="shared" ca="1" si="52"/>
        <v>41796.089999999997</v>
      </c>
      <c r="Y106" s="12">
        <f t="shared" ca="1" si="53"/>
        <v>0.21</v>
      </c>
      <c r="Z106" s="2" t="str">
        <f t="shared" ca="1" si="54"/>
        <v>Cancelada</v>
      </c>
      <c r="AA106" s="8">
        <f t="shared" ca="1" si="55"/>
        <v>26</v>
      </c>
      <c r="AB106" s="2">
        <f t="shared" ca="1" si="56"/>
        <v>18</v>
      </c>
      <c r="AC106" s="2">
        <f t="shared" ca="1" si="57"/>
        <v>7</v>
      </c>
    </row>
    <row r="107" spans="1:29" x14ac:dyDescent="0.25">
      <c r="A107" s="14" t="str">
        <f t="shared" si="29"/>
        <v>VND-00107</v>
      </c>
      <c r="B107" s="5">
        <f t="shared" ca="1" si="30"/>
        <v>45140</v>
      </c>
      <c r="C107" s="2">
        <f t="shared" ca="1" si="31"/>
        <v>2023</v>
      </c>
      <c r="D107" s="2" t="str">
        <f t="shared" ca="1" si="32"/>
        <v>agosto</v>
      </c>
      <c r="E107" s="2" t="str">
        <f t="shared" ca="1" si="33"/>
        <v>2023/08</v>
      </c>
      <c r="F107" s="14" t="str">
        <f t="shared" ca="1" si="34"/>
        <v>CLI-1205</v>
      </c>
      <c r="G107" s="2" t="str">
        <f t="shared" ca="1" si="35"/>
        <v>Maria</v>
      </c>
      <c r="H107" s="2" t="str">
        <f t="shared" ca="1" si="36"/>
        <v>Novo</v>
      </c>
      <c r="I107" s="2" t="str">
        <f t="shared" ca="1" si="37"/>
        <v>Carlos</v>
      </c>
      <c r="J107" s="14" t="str">
        <f t="shared" ca="1" si="38"/>
        <v>VCL-5784</v>
      </c>
      <c r="K107" s="2" t="str">
        <f t="shared" ca="1" si="39"/>
        <v>Compass</v>
      </c>
      <c r="L107" s="2" t="str">
        <f t="shared" ca="1" si="40"/>
        <v>Jeep</v>
      </c>
      <c r="M107" s="2" t="str">
        <f t="shared" ca="1" si="41"/>
        <v>SUV</v>
      </c>
      <c r="N107" s="2">
        <f t="shared" ca="1" si="42"/>
        <v>2020</v>
      </c>
      <c r="O107" s="2" t="str">
        <f t="shared" ca="1" si="43"/>
        <v>Online</v>
      </c>
      <c r="P107" s="2" t="str">
        <f t="shared" ca="1" si="44"/>
        <v>Norte</v>
      </c>
      <c r="Q107" s="2" t="str">
        <f t="shared" ca="1" si="45"/>
        <v>PA</v>
      </c>
      <c r="R107" s="2" t="str">
        <f t="shared" ca="1" si="46"/>
        <v>Belém</v>
      </c>
      <c r="S107" s="8">
        <f t="shared" ca="1" si="47"/>
        <v>9</v>
      </c>
      <c r="T107" s="10">
        <f t="shared" ca="1" si="48"/>
        <v>68830</v>
      </c>
      <c r="U107" s="10">
        <f t="shared" ca="1" si="49"/>
        <v>52310.8</v>
      </c>
      <c r="V107" s="10">
        <f t="shared" ca="1" si="50"/>
        <v>619470</v>
      </c>
      <c r="W107" s="10">
        <f t="shared" ca="1" si="51"/>
        <v>470797.2</v>
      </c>
      <c r="X107" s="10">
        <f t="shared" ca="1" si="52"/>
        <v>148672.79999999999</v>
      </c>
      <c r="Y107" s="12">
        <f t="shared" ca="1" si="53"/>
        <v>0.24</v>
      </c>
      <c r="Z107" s="2" t="str">
        <f t="shared" ca="1" si="54"/>
        <v>Cancelada</v>
      </c>
      <c r="AA107" s="8">
        <f t="shared" ca="1" si="55"/>
        <v>10</v>
      </c>
      <c r="AB107" s="2">
        <f t="shared" ca="1" si="56"/>
        <v>20</v>
      </c>
      <c r="AC107" s="2">
        <f t="shared" ca="1" si="57"/>
        <v>7</v>
      </c>
    </row>
    <row r="108" spans="1:29" x14ac:dyDescent="0.25">
      <c r="A108" s="14" t="str">
        <f t="shared" si="29"/>
        <v>VND-00108</v>
      </c>
      <c r="B108" s="5">
        <f t="shared" ca="1" si="30"/>
        <v>45335</v>
      </c>
      <c r="C108" s="2">
        <f t="shared" ca="1" si="31"/>
        <v>2024</v>
      </c>
      <c r="D108" s="2" t="str">
        <f t="shared" ca="1" si="32"/>
        <v>fevereiro</v>
      </c>
      <c r="E108" s="2" t="str">
        <f t="shared" ca="1" si="33"/>
        <v>2024/02</v>
      </c>
      <c r="F108" s="14" t="str">
        <f t="shared" ca="1" si="34"/>
        <v>CLI-4136</v>
      </c>
      <c r="G108" s="2" t="str">
        <f t="shared" ca="1" si="35"/>
        <v>Juliana</v>
      </c>
      <c r="H108" s="2" t="str">
        <f t="shared" ca="1" si="36"/>
        <v>Novo</v>
      </c>
      <c r="I108" s="2" t="str">
        <f t="shared" ca="1" si="37"/>
        <v>André</v>
      </c>
      <c r="J108" s="14" t="str">
        <f t="shared" ca="1" si="38"/>
        <v>VCL-5501</v>
      </c>
      <c r="K108" s="2" t="str">
        <f t="shared" ca="1" si="39"/>
        <v>HB20</v>
      </c>
      <c r="L108" s="2" t="str">
        <f t="shared" ca="1" si="40"/>
        <v>Hyundai</v>
      </c>
      <c r="M108" s="2" t="str">
        <f t="shared" ca="1" si="41"/>
        <v>Popular</v>
      </c>
      <c r="N108" s="2">
        <f t="shared" ca="1" si="42"/>
        <v>2023</v>
      </c>
      <c r="O108" s="2" t="str">
        <f t="shared" ca="1" si="43"/>
        <v>Online</v>
      </c>
      <c r="P108" s="2" t="str">
        <f t="shared" ca="1" si="44"/>
        <v>Nordeste</v>
      </c>
      <c r="Q108" s="2" t="str">
        <f t="shared" ca="1" si="45"/>
        <v>CE</v>
      </c>
      <c r="R108" s="2" t="str">
        <f t="shared" ca="1" si="46"/>
        <v>Sobral</v>
      </c>
      <c r="S108" s="8">
        <f t="shared" ca="1" si="47"/>
        <v>4</v>
      </c>
      <c r="T108" s="10">
        <f t="shared" ca="1" si="48"/>
        <v>144038</v>
      </c>
      <c r="U108" s="10">
        <f t="shared" ca="1" si="49"/>
        <v>116670.78000000001</v>
      </c>
      <c r="V108" s="10">
        <f t="shared" ca="1" si="50"/>
        <v>576152</v>
      </c>
      <c r="W108" s="10">
        <f t="shared" ca="1" si="51"/>
        <v>466683.12000000005</v>
      </c>
      <c r="X108" s="10">
        <f t="shared" ca="1" si="52"/>
        <v>109468.87999999995</v>
      </c>
      <c r="Y108" s="12">
        <f t="shared" ca="1" si="53"/>
        <v>0.18999999999999992</v>
      </c>
      <c r="Z108" s="2" t="str">
        <f t="shared" ca="1" si="54"/>
        <v>Em negociação</v>
      </c>
      <c r="AA108" s="8">
        <f t="shared" ca="1" si="55"/>
        <v>5</v>
      </c>
      <c r="AB108" s="2">
        <f t="shared" ca="1" si="56"/>
        <v>18</v>
      </c>
      <c r="AC108" s="2">
        <f t="shared" ca="1" si="57"/>
        <v>10</v>
      </c>
    </row>
    <row r="109" spans="1:29" x14ac:dyDescent="0.25">
      <c r="A109" s="14" t="str">
        <f t="shared" si="29"/>
        <v>VND-00109</v>
      </c>
      <c r="B109" s="5">
        <f t="shared" ca="1" si="30"/>
        <v>45204</v>
      </c>
      <c r="C109" s="2">
        <f t="shared" ca="1" si="31"/>
        <v>2023</v>
      </c>
      <c r="D109" s="2" t="str">
        <f t="shared" ca="1" si="32"/>
        <v>outubro</v>
      </c>
      <c r="E109" s="2" t="str">
        <f t="shared" ca="1" si="33"/>
        <v>2023/10</v>
      </c>
      <c r="F109" s="14" t="str">
        <f t="shared" ca="1" si="34"/>
        <v>CLI-4443</v>
      </c>
      <c r="G109" s="2" t="str">
        <f t="shared" ca="1" si="35"/>
        <v>Rafael</v>
      </c>
      <c r="H109" s="2" t="str">
        <f t="shared" ca="1" si="36"/>
        <v>Recorrente</v>
      </c>
      <c r="I109" s="2" t="str">
        <f t="shared" ca="1" si="37"/>
        <v>André</v>
      </c>
      <c r="J109" s="14" t="str">
        <f t="shared" ca="1" si="38"/>
        <v>VCL-7376</v>
      </c>
      <c r="K109" s="2" t="str">
        <f t="shared" ca="1" si="39"/>
        <v>HB20</v>
      </c>
      <c r="L109" s="2" t="str">
        <f t="shared" ca="1" si="40"/>
        <v>Hyundai</v>
      </c>
      <c r="M109" s="2" t="str">
        <f t="shared" ca="1" si="41"/>
        <v>Popular</v>
      </c>
      <c r="N109" s="2">
        <f t="shared" ca="1" si="42"/>
        <v>2020</v>
      </c>
      <c r="O109" s="2" t="str">
        <f t="shared" ca="1" si="43"/>
        <v>Online</v>
      </c>
      <c r="P109" s="2" t="str">
        <f t="shared" ca="1" si="44"/>
        <v>Nordeste</v>
      </c>
      <c r="Q109" s="2" t="str">
        <f t="shared" ca="1" si="45"/>
        <v>PE</v>
      </c>
      <c r="R109" s="2" t="str">
        <f t="shared" ca="1" si="46"/>
        <v>Petrolina</v>
      </c>
      <c r="S109" s="8">
        <f t="shared" ca="1" si="47"/>
        <v>1</v>
      </c>
      <c r="T109" s="10">
        <f t="shared" ca="1" si="48"/>
        <v>142527</v>
      </c>
      <c r="U109" s="10">
        <f t="shared" ca="1" si="49"/>
        <v>114021.6</v>
      </c>
      <c r="V109" s="10">
        <f t="shared" ca="1" si="50"/>
        <v>142527</v>
      </c>
      <c r="W109" s="10">
        <f t="shared" ca="1" si="51"/>
        <v>114021.6</v>
      </c>
      <c r="X109" s="10">
        <f t="shared" ca="1" si="52"/>
        <v>28505.399999999994</v>
      </c>
      <c r="Y109" s="12">
        <f t="shared" ca="1" si="53"/>
        <v>0.19999999999999996</v>
      </c>
      <c r="Z109" s="2" t="str">
        <f t="shared" ca="1" si="54"/>
        <v>Cancelada</v>
      </c>
      <c r="AA109" s="8">
        <f t="shared" ca="1" si="55"/>
        <v>9</v>
      </c>
      <c r="AB109" s="2">
        <f t="shared" ca="1" si="56"/>
        <v>13</v>
      </c>
      <c r="AC109" s="2">
        <f t="shared" ca="1" si="57"/>
        <v>10</v>
      </c>
    </row>
    <row r="110" spans="1:29" x14ac:dyDescent="0.25">
      <c r="A110" s="14" t="str">
        <f t="shared" si="29"/>
        <v>VND-00110</v>
      </c>
      <c r="B110" s="5">
        <f t="shared" ca="1" si="30"/>
        <v>45678</v>
      </c>
      <c r="C110" s="2">
        <f t="shared" ca="1" si="31"/>
        <v>2025</v>
      </c>
      <c r="D110" s="2" t="str">
        <f t="shared" ca="1" si="32"/>
        <v>janeiro</v>
      </c>
      <c r="E110" s="2" t="str">
        <f t="shared" ca="1" si="33"/>
        <v>2025/01</v>
      </c>
      <c r="F110" s="14" t="str">
        <f t="shared" ca="1" si="34"/>
        <v>CLI-9840</v>
      </c>
      <c r="G110" s="2" t="str">
        <f t="shared" ca="1" si="35"/>
        <v>Lucas</v>
      </c>
      <c r="H110" s="2" t="str">
        <f t="shared" ca="1" si="36"/>
        <v>Recorrente</v>
      </c>
      <c r="I110" s="2" t="str">
        <f t="shared" ca="1" si="37"/>
        <v>Lucas</v>
      </c>
      <c r="J110" s="14" t="str">
        <f t="shared" ca="1" si="38"/>
        <v>VCL-6774</v>
      </c>
      <c r="K110" s="2" t="str">
        <f t="shared" ca="1" si="39"/>
        <v>Onix</v>
      </c>
      <c r="L110" s="2" t="str">
        <f t="shared" ca="1" si="40"/>
        <v>Chevrolet</v>
      </c>
      <c r="M110" s="2" t="str">
        <f t="shared" ca="1" si="41"/>
        <v>Popular</v>
      </c>
      <c r="N110" s="2">
        <f t="shared" ca="1" si="42"/>
        <v>2021</v>
      </c>
      <c r="O110" s="2" t="str">
        <f t="shared" ca="1" si="43"/>
        <v>Loja</v>
      </c>
      <c r="P110" s="2" t="str">
        <f t="shared" ca="1" si="44"/>
        <v>Sudeste</v>
      </c>
      <c r="Q110" s="2" t="str">
        <f t="shared" ca="1" si="45"/>
        <v>MG</v>
      </c>
      <c r="R110" s="2" t="str">
        <f t="shared" ca="1" si="46"/>
        <v>Betim</v>
      </c>
      <c r="S110" s="8">
        <f t="shared" ca="1" si="47"/>
        <v>5</v>
      </c>
      <c r="T110" s="10">
        <f t="shared" ca="1" si="48"/>
        <v>196211</v>
      </c>
      <c r="U110" s="10">
        <f t="shared" ca="1" si="49"/>
        <v>160893.01999999999</v>
      </c>
      <c r="V110" s="10">
        <f t="shared" ca="1" si="50"/>
        <v>981055</v>
      </c>
      <c r="W110" s="10">
        <f t="shared" ca="1" si="51"/>
        <v>804465.1</v>
      </c>
      <c r="X110" s="10">
        <f t="shared" ca="1" si="52"/>
        <v>176589.90000000002</v>
      </c>
      <c r="Y110" s="12">
        <f t="shared" ca="1" si="53"/>
        <v>0.18000000000000002</v>
      </c>
      <c r="Z110" s="2" t="str">
        <f t="shared" ca="1" si="54"/>
        <v>Concluída</v>
      </c>
      <c r="AA110" s="8">
        <f t="shared" ca="1" si="55"/>
        <v>27</v>
      </c>
      <c r="AB110" s="2">
        <f t="shared" ca="1" si="56"/>
        <v>25</v>
      </c>
      <c r="AC110" s="2">
        <f t="shared" ca="1" si="57"/>
        <v>10</v>
      </c>
    </row>
    <row r="111" spans="1:29" x14ac:dyDescent="0.25">
      <c r="A111" s="14" t="str">
        <f t="shared" si="29"/>
        <v>VND-00111</v>
      </c>
      <c r="B111" s="5">
        <f t="shared" ca="1" si="30"/>
        <v>45303</v>
      </c>
      <c r="C111" s="2">
        <f t="shared" ca="1" si="31"/>
        <v>2024</v>
      </c>
      <c r="D111" s="2" t="str">
        <f t="shared" ca="1" si="32"/>
        <v>janeiro</v>
      </c>
      <c r="E111" s="2" t="str">
        <f t="shared" ca="1" si="33"/>
        <v>2024/01</v>
      </c>
      <c r="F111" s="14" t="str">
        <f t="shared" ca="1" si="34"/>
        <v>CLI-2872</v>
      </c>
      <c r="G111" s="2" t="str">
        <f t="shared" ca="1" si="35"/>
        <v>João</v>
      </c>
      <c r="H111" s="2" t="str">
        <f t="shared" ca="1" si="36"/>
        <v>Recorrente</v>
      </c>
      <c r="I111" s="2" t="str">
        <f t="shared" ca="1" si="37"/>
        <v>Tatiane</v>
      </c>
      <c r="J111" s="14" t="str">
        <f t="shared" ca="1" si="38"/>
        <v>VCL-7225</v>
      </c>
      <c r="K111" s="2" t="str">
        <f t="shared" ca="1" si="39"/>
        <v>Compass</v>
      </c>
      <c r="L111" s="2" t="str">
        <f t="shared" ca="1" si="40"/>
        <v>Jeep</v>
      </c>
      <c r="M111" s="2" t="str">
        <f t="shared" ca="1" si="41"/>
        <v>SUV</v>
      </c>
      <c r="N111" s="2">
        <f t="shared" ca="1" si="42"/>
        <v>2024</v>
      </c>
      <c r="O111" s="2" t="str">
        <f t="shared" ca="1" si="43"/>
        <v>Loja</v>
      </c>
      <c r="P111" s="2" t="str">
        <f t="shared" ca="1" si="44"/>
        <v>Norte</v>
      </c>
      <c r="Q111" s="2" t="str">
        <f t="shared" ca="1" si="45"/>
        <v>AM</v>
      </c>
      <c r="R111" s="2" t="str">
        <f t="shared" ca="1" si="46"/>
        <v>Itacoatiara</v>
      </c>
      <c r="S111" s="8">
        <f t="shared" ca="1" si="47"/>
        <v>2</v>
      </c>
      <c r="T111" s="10">
        <f t="shared" ca="1" si="48"/>
        <v>187217</v>
      </c>
      <c r="U111" s="10">
        <f t="shared" ca="1" si="49"/>
        <v>134796.24</v>
      </c>
      <c r="V111" s="10">
        <f t="shared" ca="1" si="50"/>
        <v>374434</v>
      </c>
      <c r="W111" s="10">
        <f t="shared" ca="1" si="51"/>
        <v>269592.48</v>
      </c>
      <c r="X111" s="10">
        <f t="shared" ca="1" si="52"/>
        <v>104841.52000000002</v>
      </c>
      <c r="Y111" s="12">
        <f t="shared" ca="1" si="53"/>
        <v>0.28000000000000003</v>
      </c>
      <c r="Z111" s="2" t="str">
        <f t="shared" ca="1" si="54"/>
        <v>Concluída</v>
      </c>
      <c r="AA111" s="8">
        <f t="shared" ca="1" si="55"/>
        <v>5</v>
      </c>
      <c r="AB111" s="2">
        <f t="shared" ca="1" si="56"/>
        <v>5</v>
      </c>
      <c r="AC111" s="2">
        <f t="shared" ca="1" si="57"/>
        <v>7</v>
      </c>
    </row>
    <row r="112" spans="1:29" x14ac:dyDescent="0.25">
      <c r="A112" s="14" t="str">
        <f t="shared" si="29"/>
        <v>VND-00112</v>
      </c>
      <c r="B112" s="5">
        <f t="shared" ca="1" si="30"/>
        <v>45532</v>
      </c>
      <c r="C112" s="2">
        <f t="shared" ca="1" si="31"/>
        <v>2024</v>
      </c>
      <c r="D112" s="2" t="str">
        <f t="shared" ca="1" si="32"/>
        <v>agosto</v>
      </c>
      <c r="E112" s="2" t="str">
        <f t="shared" ca="1" si="33"/>
        <v>2024/08</v>
      </c>
      <c r="F112" s="14" t="str">
        <f t="shared" ca="1" si="34"/>
        <v>CLI-9999</v>
      </c>
      <c r="G112" s="2" t="str">
        <f t="shared" ca="1" si="35"/>
        <v>João</v>
      </c>
      <c r="H112" s="2" t="str">
        <f t="shared" ca="1" si="36"/>
        <v>Novo</v>
      </c>
      <c r="I112" s="2" t="str">
        <f t="shared" ca="1" si="37"/>
        <v>Carlos</v>
      </c>
      <c r="J112" s="14" t="str">
        <f t="shared" ca="1" si="38"/>
        <v>VCL-7080</v>
      </c>
      <c r="K112" s="2" t="str">
        <f t="shared" ca="1" si="39"/>
        <v>HB20</v>
      </c>
      <c r="L112" s="2" t="str">
        <f t="shared" ca="1" si="40"/>
        <v>Hyundai</v>
      </c>
      <c r="M112" s="2" t="str">
        <f t="shared" ca="1" si="41"/>
        <v>Popular</v>
      </c>
      <c r="N112" s="2">
        <f t="shared" ca="1" si="42"/>
        <v>2021</v>
      </c>
      <c r="O112" s="2" t="str">
        <f t="shared" ca="1" si="43"/>
        <v>Loja</v>
      </c>
      <c r="P112" s="2" t="str">
        <f t="shared" ca="1" si="44"/>
        <v>Norte</v>
      </c>
      <c r="Q112" s="2" t="str">
        <f t="shared" ca="1" si="45"/>
        <v>PA</v>
      </c>
      <c r="R112" s="2" t="str">
        <f t="shared" ca="1" si="46"/>
        <v>Ananindeua</v>
      </c>
      <c r="S112" s="8">
        <f t="shared" ca="1" si="47"/>
        <v>1</v>
      </c>
      <c r="T112" s="10">
        <f t="shared" ca="1" si="48"/>
        <v>69518</v>
      </c>
      <c r="U112" s="10">
        <f t="shared" ca="1" si="49"/>
        <v>53528.86</v>
      </c>
      <c r="V112" s="10">
        <f t="shared" ca="1" si="50"/>
        <v>69518</v>
      </c>
      <c r="W112" s="10">
        <f t="shared" ca="1" si="51"/>
        <v>53528.86</v>
      </c>
      <c r="X112" s="10">
        <f t="shared" ca="1" si="52"/>
        <v>15989.14</v>
      </c>
      <c r="Y112" s="12">
        <f t="shared" ca="1" si="53"/>
        <v>0.22999999999999998</v>
      </c>
      <c r="Z112" s="2" t="str">
        <f t="shared" ca="1" si="54"/>
        <v>Concluída</v>
      </c>
      <c r="AA112" s="8">
        <f t="shared" ca="1" si="55"/>
        <v>11</v>
      </c>
      <c r="AB112" s="2">
        <f t="shared" ca="1" si="56"/>
        <v>25</v>
      </c>
      <c r="AC112" s="2">
        <f t="shared" ca="1" si="57"/>
        <v>10</v>
      </c>
    </row>
    <row r="113" spans="1:29" x14ac:dyDescent="0.25">
      <c r="A113" s="14" t="str">
        <f t="shared" si="29"/>
        <v>VND-00113</v>
      </c>
      <c r="B113" s="5">
        <f t="shared" ca="1" si="30"/>
        <v>45059</v>
      </c>
      <c r="C113" s="2">
        <f t="shared" ca="1" si="31"/>
        <v>2023</v>
      </c>
      <c r="D113" s="2" t="str">
        <f t="shared" ca="1" si="32"/>
        <v>maio</v>
      </c>
      <c r="E113" s="2" t="str">
        <f t="shared" ca="1" si="33"/>
        <v>2023/05</v>
      </c>
      <c r="F113" s="14" t="str">
        <f t="shared" ca="1" si="34"/>
        <v>CLI-3974</v>
      </c>
      <c r="G113" s="2" t="str">
        <f t="shared" ca="1" si="35"/>
        <v>Ana</v>
      </c>
      <c r="H113" s="2" t="str">
        <f t="shared" ca="1" si="36"/>
        <v>Recorrente</v>
      </c>
      <c r="I113" s="2" t="str">
        <f t="shared" ca="1" si="37"/>
        <v>André</v>
      </c>
      <c r="J113" s="14" t="str">
        <f t="shared" ca="1" si="38"/>
        <v>VCL-4483</v>
      </c>
      <c r="K113" s="2" t="str">
        <f t="shared" ca="1" si="39"/>
        <v>BMW X1</v>
      </c>
      <c r="L113" s="2" t="str">
        <f t="shared" ca="1" si="40"/>
        <v>BMW</v>
      </c>
      <c r="M113" s="2" t="str">
        <f t="shared" ca="1" si="41"/>
        <v>Luxo</v>
      </c>
      <c r="N113" s="2">
        <f t="shared" ca="1" si="42"/>
        <v>2023</v>
      </c>
      <c r="O113" s="2" t="str">
        <f t="shared" ca="1" si="43"/>
        <v>Online</v>
      </c>
      <c r="P113" s="2" t="str">
        <f t="shared" ca="1" si="44"/>
        <v>Nordeste</v>
      </c>
      <c r="Q113" s="2" t="str">
        <f t="shared" ca="1" si="45"/>
        <v>BA</v>
      </c>
      <c r="R113" s="2" t="str">
        <f t="shared" ca="1" si="46"/>
        <v>Vitória da Conquista</v>
      </c>
      <c r="S113" s="8">
        <f t="shared" ca="1" si="47"/>
        <v>3</v>
      </c>
      <c r="T113" s="10">
        <f t="shared" ca="1" si="48"/>
        <v>160872</v>
      </c>
      <c r="U113" s="10">
        <f t="shared" ca="1" si="49"/>
        <v>112610.4</v>
      </c>
      <c r="V113" s="10">
        <f t="shared" ca="1" si="50"/>
        <v>482616</v>
      </c>
      <c r="W113" s="10">
        <f t="shared" ca="1" si="51"/>
        <v>337831.19999999995</v>
      </c>
      <c r="X113" s="10">
        <f t="shared" ca="1" si="52"/>
        <v>144784.80000000005</v>
      </c>
      <c r="Y113" s="12">
        <f t="shared" ca="1" si="53"/>
        <v>0.3000000000000001</v>
      </c>
      <c r="Z113" s="2" t="str">
        <f t="shared" ca="1" si="54"/>
        <v>Cancelada</v>
      </c>
      <c r="AA113" s="8">
        <f t="shared" ca="1" si="55"/>
        <v>21</v>
      </c>
      <c r="AB113" s="2">
        <f t="shared" ca="1" si="56"/>
        <v>0</v>
      </c>
      <c r="AC113" s="2">
        <f t="shared" ca="1" si="57"/>
        <v>3</v>
      </c>
    </row>
    <row r="114" spans="1:29" x14ac:dyDescent="0.25">
      <c r="A114" s="14" t="str">
        <f t="shared" si="29"/>
        <v>VND-00114</v>
      </c>
      <c r="B114" s="5">
        <f t="shared" ca="1" si="30"/>
        <v>45673</v>
      </c>
      <c r="C114" s="2">
        <f t="shared" ca="1" si="31"/>
        <v>2025</v>
      </c>
      <c r="D114" s="2" t="str">
        <f t="shared" ca="1" si="32"/>
        <v>janeiro</v>
      </c>
      <c r="E114" s="2" t="str">
        <f t="shared" ca="1" si="33"/>
        <v>2025/01</v>
      </c>
      <c r="F114" s="14" t="str">
        <f t="shared" ca="1" si="34"/>
        <v>CLI-4885</v>
      </c>
      <c r="G114" s="2" t="str">
        <f t="shared" ca="1" si="35"/>
        <v>Lucas</v>
      </c>
      <c r="H114" s="2" t="str">
        <f t="shared" ca="1" si="36"/>
        <v>Novo</v>
      </c>
      <c r="I114" s="2" t="str">
        <f t="shared" ca="1" si="37"/>
        <v>Fernanda</v>
      </c>
      <c r="J114" s="14" t="str">
        <f t="shared" ca="1" si="38"/>
        <v>VCL-6410</v>
      </c>
      <c r="K114" s="2" t="str">
        <f t="shared" ca="1" si="39"/>
        <v>Onix</v>
      </c>
      <c r="L114" s="2" t="str">
        <f t="shared" ca="1" si="40"/>
        <v>Chevrolet</v>
      </c>
      <c r="M114" s="2" t="str">
        <f t="shared" ca="1" si="41"/>
        <v>Popular</v>
      </c>
      <c r="N114" s="2">
        <f t="shared" ca="1" si="42"/>
        <v>2023</v>
      </c>
      <c r="O114" s="2" t="str">
        <f t="shared" ca="1" si="43"/>
        <v>Online</v>
      </c>
      <c r="P114" s="2" t="str">
        <f t="shared" ca="1" si="44"/>
        <v>Nordeste</v>
      </c>
      <c r="Q114" s="2" t="str">
        <f t="shared" ca="1" si="45"/>
        <v>CE</v>
      </c>
      <c r="R114" s="2" t="str">
        <f t="shared" ca="1" si="46"/>
        <v>Juazeiro do Norte</v>
      </c>
      <c r="S114" s="8">
        <f t="shared" ca="1" si="47"/>
        <v>8</v>
      </c>
      <c r="T114" s="10">
        <f t="shared" ca="1" si="48"/>
        <v>116717</v>
      </c>
      <c r="U114" s="10">
        <f t="shared" ca="1" si="49"/>
        <v>88704.92</v>
      </c>
      <c r="V114" s="10">
        <f t="shared" ca="1" si="50"/>
        <v>933736</v>
      </c>
      <c r="W114" s="10">
        <f t="shared" ca="1" si="51"/>
        <v>709639.36</v>
      </c>
      <c r="X114" s="10">
        <f t="shared" ca="1" si="52"/>
        <v>224096.64000000001</v>
      </c>
      <c r="Y114" s="12">
        <f t="shared" ca="1" si="53"/>
        <v>0.24000000000000002</v>
      </c>
      <c r="Z114" s="2" t="str">
        <f t="shared" ca="1" si="54"/>
        <v>Concluída</v>
      </c>
      <c r="AA114" s="8">
        <f t="shared" ca="1" si="55"/>
        <v>6</v>
      </c>
      <c r="AB114" s="2">
        <f t="shared" ca="1" si="56"/>
        <v>22</v>
      </c>
      <c r="AC114" s="2">
        <f t="shared" ca="1" si="57"/>
        <v>10</v>
      </c>
    </row>
    <row r="115" spans="1:29" x14ac:dyDescent="0.25">
      <c r="A115" s="14" t="str">
        <f t="shared" si="29"/>
        <v>VND-00115</v>
      </c>
      <c r="B115" s="5">
        <f t="shared" ca="1" si="30"/>
        <v>45726</v>
      </c>
      <c r="C115" s="2">
        <f t="shared" ca="1" si="31"/>
        <v>2025</v>
      </c>
      <c r="D115" s="2" t="str">
        <f t="shared" ca="1" si="32"/>
        <v>março</v>
      </c>
      <c r="E115" s="2" t="str">
        <f t="shared" ca="1" si="33"/>
        <v>2025/03</v>
      </c>
      <c r="F115" s="14" t="str">
        <f t="shared" ca="1" si="34"/>
        <v>CLI-4058</v>
      </c>
      <c r="G115" s="2" t="str">
        <f t="shared" ca="1" si="35"/>
        <v>João</v>
      </c>
      <c r="H115" s="2" t="str">
        <f t="shared" ca="1" si="36"/>
        <v>Novo</v>
      </c>
      <c r="I115" s="2" t="str">
        <f t="shared" ca="1" si="37"/>
        <v>Carlos</v>
      </c>
      <c r="J115" s="14" t="str">
        <f t="shared" ca="1" si="38"/>
        <v>VCL-6658</v>
      </c>
      <c r="K115" s="2" t="str">
        <f t="shared" ca="1" si="39"/>
        <v>Corolla</v>
      </c>
      <c r="L115" s="2" t="str">
        <f t="shared" ca="1" si="40"/>
        <v>Toyota</v>
      </c>
      <c r="M115" s="2" t="str">
        <f t="shared" ca="1" si="41"/>
        <v>SUV</v>
      </c>
      <c r="N115" s="2">
        <f t="shared" ca="1" si="42"/>
        <v>2020</v>
      </c>
      <c r="O115" s="2" t="str">
        <f t="shared" ca="1" si="43"/>
        <v>Loja</v>
      </c>
      <c r="P115" s="2" t="str">
        <f t="shared" ca="1" si="44"/>
        <v>Norte</v>
      </c>
      <c r="Q115" s="2" t="str">
        <f t="shared" ca="1" si="45"/>
        <v>PA</v>
      </c>
      <c r="R115" s="2" t="str">
        <f t="shared" ca="1" si="46"/>
        <v>Santarém</v>
      </c>
      <c r="S115" s="8">
        <f t="shared" ca="1" si="47"/>
        <v>1</v>
      </c>
      <c r="T115" s="10">
        <f t="shared" ca="1" si="48"/>
        <v>203360</v>
      </c>
      <c r="U115" s="10">
        <f t="shared" ca="1" si="49"/>
        <v>142352</v>
      </c>
      <c r="V115" s="10">
        <f t="shared" ca="1" si="50"/>
        <v>203360</v>
      </c>
      <c r="W115" s="10">
        <f t="shared" ca="1" si="51"/>
        <v>142352</v>
      </c>
      <c r="X115" s="10">
        <f t="shared" ca="1" si="52"/>
        <v>61008</v>
      </c>
      <c r="Y115" s="12">
        <f t="shared" ca="1" si="53"/>
        <v>0.3</v>
      </c>
      <c r="Z115" s="2" t="str">
        <f t="shared" ca="1" si="54"/>
        <v>Em negociação</v>
      </c>
      <c r="AA115" s="8">
        <f t="shared" ca="1" si="55"/>
        <v>30</v>
      </c>
      <c r="AB115" s="2">
        <f t="shared" ca="1" si="56"/>
        <v>11</v>
      </c>
      <c r="AC115" s="2">
        <f t="shared" ca="1" si="57"/>
        <v>7</v>
      </c>
    </row>
    <row r="116" spans="1:29" x14ac:dyDescent="0.25">
      <c r="A116" s="14" t="str">
        <f t="shared" si="29"/>
        <v>VND-00116</v>
      </c>
      <c r="B116" s="5">
        <f t="shared" ca="1" si="30"/>
        <v>45509</v>
      </c>
      <c r="C116" s="2">
        <f t="shared" ca="1" si="31"/>
        <v>2024</v>
      </c>
      <c r="D116" s="2" t="str">
        <f t="shared" ca="1" si="32"/>
        <v>agosto</v>
      </c>
      <c r="E116" s="2" t="str">
        <f t="shared" ca="1" si="33"/>
        <v>2024/08</v>
      </c>
      <c r="F116" s="14" t="str">
        <f t="shared" ca="1" si="34"/>
        <v>CLI-5263</v>
      </c>
      <c r="G116" s="2" t="str">
        <f t="shared" ca="1" si="35"/>
        <v>João</v>
      </c>
      <c r="H116" s="2" t="str">
        <f t="shared" ca="1" si="36"/>
        <v>Recorrente</v>
      </c>
      <c r="I116" s="2" t="str">
        <f t="shared" ca="1" si="37"/>
        <v>Eduardo</v>
      </c>
      <c r="J116" s="14" t="str">
        <f t="shared" ca="1" si="38"/>
        <v>VCL-6516</v>
      </c>
      <c r="K116" s="2" t="str">
        <f t="shared" ca="1" si="39"/>
        <v>BMW X1</v>
      </c>
      <c r="L116" s="2" t="str">
        <f t="shared" ca="1" si="40"/>
        <v>BMW</v>
      </c>
      <c r="M116" s="2" t="str">
        <f t="shared" ca="1" si="41"/>
        <v>Luxo</v>
      </c>
      <c r="N116" s="2">
        <f t="shared" ca="1" si="42"/>
        <v>2023</v>
      </c>
      <c r="O116" s="2" t="str">
        <f t="shared" ca="1" si="43"/>
        <v>Online</v>
      </c>
      <c r="P116" s="2" t="str">
        <f t="shared" ca="1" si="44"/>
        <v>Centro-Oeste</v>
      </c>
      <c r="Q116" s="2" t="str">
        <f t="shared" ca="1" si="45"/>
        <v>GO</v>
      </c>
      <c r="R116" s="2" t="str">
        <f t="shared" ca="1" si="46"/>
        <v>Rio Verde</v>
      </c>
      <c r="S116" s="8">
        <f t="shared" ca="1" si="47"/>
        <v>7</v>
      </c>
      <c r="T116" s="10">
        <f t="shared" ca="1" si="48"/>
        <v>96006</v>
      </c>
      <c r="U116" s="10">
        <f t="shared" ca="1" si="49"/>
        <v>75844.740000000005</v>
      </c>
      <c r="V116" s="10">
        <f t="shared" ca="1" si="50"/>
        <v>672042</v>
      </c>
      <c r="W116" s="10">
        <f t="shared" ca="1" si="51"/>
        <v>530913.18000000005</v>
      </c>
      <c r="X116" s="10">
        <f t="shared" ca="1" si="52"/>
        <v>141128.81999999995</v>
      </c>
      <c r="Y116" s="12">
        <f t="shared" ca="1" si="53"/>
        <v>0.20999999999999994</v>
      </c>
      <c r="Z116" s="2" t="str">
        <f t="shared" ca="1" si="54"/>
        <v>Em negociação</v>
      </c>
      <c r="AA116" s="8">
        <f t="shared" ca="1" si="55"/>
        <v>3</v>
      </c>
      <c r="AB116" s="2">
        <f t="shared" ca="1" si="56"/>
        <v>1</v>
      </c>
      <c r="AC116" s="2">
        <f t="shared" ca="1" si="57"/>
        <v>3</v>
      </c>
    </row>
    <row r="117" spans="1:29" x14ac:dyDescent="0.25">
      <c r="A117" s="14" t="str">
        <f t="shared" si="29"/>
        <v>VND-00117</v>
      </c>
      <c r="B117" s="5">
        <f t="shared" ca="1" si="30"/>
        <v>44976</v>
      </c>
      <c r="C117" s="2">
        <f t="shared" ca="1" si="31"/>
        <v>2023</v>
      </c>
      <c r="D117" s="2" t="str">
        <f t="shared" ca="1" si="32"/>
        <v>fevereiro</v>
      </c>
      <c r="E117" s="2" t="str">
        <f t="shared" ca="1" si="33"/>
        <v>2023/02</v>
      </c>
      <c r="F117" s="14" t="str">
        <f t="shared" ca="1" si="34"/>
        <v>CLI-7470</v>
      </c>
      <c r="G117" s="2" t="str">
        <f t="shared" ca="1" si="35"/>
        <v>Carlos</v>
      </c>
      <c r="H117" s="2" t="str">
        <f t="shared" ca="1" si="36"/>
        <v>Recorrente</v>
      </c>
      <c r="I117" s="2" t="str">
        <f t="shared" ca="1" si="37"/>
        <v>Marcos</v>
      </c>
      <c r="J117" s="14" t="str">
        <f t="shared" ca="1" si="38"/>
        <v>VCL-4411</v>
      </c>
      <c r="K117" s="2" t="str">
        <f t="shared" ca="1" si="39"/>
        <v>HB20</v>
      </c>
      <c r="L117" s="2" t="str">
        <f t="shared" ca="1" si="40"/>
        <v>Hyundai</v>
      </c>
      <c r="M117" s="2" t="str">
        <f t="shared" ca="1" si="41"/>
        <v>Popular</v>
      </c>
      <c r="N117" s="2">
        <f t="shared" ca="1" si="42"/>
        <v>2021</v>
      </c>
      <c r="O117" s="2" t="str">
        <f t="shared" ca="1" si="43"/>
        <v>Loja</v>
      </c>
      <c r="P117" s="2" t="str">
        <f t="shared" ca="1" si="44"/>
        <v>Sul</v>
      </c>
      <c r="Q117" s="2" t="str">
        <f t="shared" ca="1" si="45"/>
        <v>PR</v>
      </c>
      <c r="R117" s="2" t="str">
        <f t="shared" ca="1" si="46"/>
        <v>Londrina</v>
      </c>
      <c r="S117" s="8">
        <f t="shared" ca="1" si="47"/>
        <v>4</v>
      </c>
      <c r="T117" s="10">
        <f t="shared" ca="1" si="48"/>
        <v>205436</v>
      </c>
      <c r="U117" s="10">
        <f t="shared" ca="1" si="49"/>
        <v>164348.80000000002</v>
      </c>
      <c r="V117" s="10">
        <f t="shared" ca="1" si="50"/>
        <v>821744</v>
      </c>
      <c r="W117" s="10">
        <f t="shared" ca="1" si="51"/>
        <v>657395.20000000007</v>
      </c>
      <c r="X117" s="10">
        <f t="shared" ca="1" si="52"/>
        <v>164348.79999999993</v>
      </c>
      <c r="Y117" s="12">
        <f t="shared" ca="1" si="53"/>
        <v>0.19999999999999993</v>
      </c>
      <c r="Z117" s="2" t="str">
        <f t="shared" ca="1" si="54"/>
        <v>Em negociação</v>
      </c>
      <c r="AA117" s="8">
        <f t="shared" ca="1" si="55"/>
        <v>23</v>
      </c>
      <c r="AB117" s="2">
        <f t="shared" ca="1" si="56"/>
        <v>19</v>
      </c>
      <c r="AC117" s="2">
        <f t="shared" ca="1" si="57"/>
        <v>10</v>
      </c>
    </row>
    <row r="118" spans="1:29" x14ac:dyDescent="0.25">
      <c r="A118" s="14" t="str">
        <f t="shared" si="29"/>
        <v>VND-00118</v>
      </c>
      <c r="B118" s="5">
        <f t="shared" ca="1" si="30"/>
        <v>45591</v>
      </c>
      <c r="C118" s="2">
        <f t="shared" ca="1" si="31"/>
        <v>2024</v>
      </c>
      <c r="D118" s="2" t="str">
        <f t="shared" ca="1" si="32"/>
        <v>outubro</v>
      </c>
      <c r="E118" s="2" t="str">
        <f t="shared" ca="1" si="33"/>
        <v>2024/10</v>
      </c>
      <c r="F118" s="14" t="str">
        <f t="shared" ca="1" si="34"/>
        <v>CLI-2134</v>
      </c>
      <c r="G118" s="2" t="str">
        <f t="shared" ca="1" si="35"/>
        <v>Juliana</v>
      </c>
      <c r="H118" s="2" t="str">
        <f t="shared" ca="1" si="36"/>
        <v>Recorrente</v>
      </c>
      <c r="I118" s="2" t="str">
        <f t="shared" ca="1" si="37"/>
        <v>Fernanda</v>
      </c>
      <c r="J118" s="14" t="str">
        <f t="shared" ca="1" si="38"/>
        <v>VCL-7328</v>
      </c>
      <c r="K118" s="2" t="str">
        <f t="shared" ca="1" si="39"/>
        <v>Corolla</v>
      </c>
      <c r="L118" s="2" t="str">
        <f t="shared" ca="1" si="40"/>
        <v>Toyota</v>
      </c>
      <c r="M118" s="2" t="str">
        <f t="shared" ca="1" si="41"/>
        <v>SUV</v>
      </c>
      <c r="N118" s="2">
        <f t="shared" ca="1" si="42"/>
        <v>2015</v>
      </c>
      <c r="O118" s="2" t="str">
        <f t="shared" ca="1" si="43"/>
        <v>Online</v>
      </c>
      <c r="P118" s="2" t="str">
        <f t="shared" ca="1" si="44"/>
        <v>Nordeste</v>
      </c>
      <c r="Q118" s="2" t="str">
        <f t="shared" ca="1" si="45"/>
        <v>CE</v>
      </c>
      <c r="R118" s="2" t="str">
        <f t="shared" ca="1" si="46"/>
        <v>Juazeiro do Norte</v>
      </c>
      <c r="S118" s="8">
        <f t="shared" ca="1" si="47"/>
        <v>2</v>
      </c>
      <c r="T118" s="10">
        <f t="shared" ca="1" si="48"/>
        <v>209971</v>
      </c>
      <c r="U118" s="10">
        <f t="shared" ca="1" si="49"/>
        <v>155378.54</v>
      </c>
      <c r="V118" s="10">
        <f t="shared" ca="1" si="50"/>
        <v>419942</v>
      </c>
      <c r="W118" s="10">
        <f t="shared" ca="1" si="51"/>
        <v>310757.08</v>
      </c>
      <c r="X118" s="10">
        <f t="shared" ca="1" si="52"/>
        <v>109184.91999999998</v>
      </c>
      <c r="Y118" s="12">
        <f t="shared" ca="1" si="53"/>
        <v>0.25999999999999995</v>
      </c>
      <c r="Z118" s="2" t="str">
        <f t="shared" ca="1" si="54"/>
        <v>Cancelada</v>
      </c>
      <c r="AA118" s="8">
        <f t="shared" ca="1" si="55"/>
        <v>30</v>
      </c>
      <c r="AB118" s="2">
        <f t="shared" ca="1" si="56"/>
        <v>8</v>
      </c>
      <c r="AC118" s="2">
        <f t="shared" ca="1" si="57"/>
        <v>7</v>
      </c>
    </row>
    <row r="119" spans="1:29" x14ac:dyDescent="0.25">
      <c r="A119" s="14" t="str">
        <f t="shared" si="29"/>
        <v>VND-00119</v>
      </c>
      <c r="B119" s="5">
        <f t="shared" ca="1" si="30"/>
        <v>45964</v>
      </c>
      <c r="C119" s="2">
        <f t="shared" ca="1" si="31"/>
        <v>2025</v>
      </c>
      <c r="D119" s="2" t="str">
        <f t="shared" ca="1" si="32"/>
        <v>novembro</v>
      </c>
      <c r="E119" s="2" t="str">
        <f t="shared" ca="1" si="33"/>
        <v>2025/11</v>
      </c>
      <c r="F119" s="14" t="str">
        <f t="shared" ca="1" si="34"/>
        <v>CLI-6846</v>
      </c>
      <c r="G119" s="2" t="str">
        <f t="shared" ca="1" si="35"/>
        <v>Ana</v>
      </c>
      <c r="H119" s="2" t="str">
        <f t="shared" ca="1" si="36"/>
        <v>Novo</v>
      </c>
      <c r="I119" s="2" t="str">
        <f t="shared" ca="1" si="37"/>
        <v>Carla</v>
      </c>
      <c r="J119" s="14" t="str">
        <f t="shared" ca="1" si="38"/>
        <v>VCL-6826</v>
      </c>
      <c r="K119" s="2" t="str">
        <f t="shared" ca="1" si="39"/>
        <v>HB20</v>
      </c>
      <c r="L119" s="2" t="str">
        <f t="shared" ca="1" si="40"/>
        <v>Hyundai</v>
      </c>
      <c r="M119" s="2" t="str">
        <f t="shared" ca="1" si="41"/>
        <v>Popular</v>
      </c>
      <c r="N119" s="2">
        <f t="shared" ca="1" si="42"/>
        <v>2018</v>
      </c>
      <c r="O119" s="2" t="str">
        <f t="shared" ca="1" si="43"/>
        <v>Loja</v>
      </c>
      <c r="P119" s="2" t="str">
        <f t="shared" ca="1" si="44"/>
        <v>Sul</v>
      </c>
      <c r="Q119" s="2" t="str">
        <f t="shared" ca="1" si="45"/>
        <v>RS</v>
      </c>
      <c r="R119" s="2" t="str">
        <f t="shared" ca="1" si="46"/>
        <v>Canoas</v>
      </c>
      <c r="S119" s="8">
        <f t="shared" ca="1" si="47"/>
        <v>5</v>
      </c>
      <c r="T119" s="10">
        <f t="shared" ca="1" si="48"/>
        <v>154716</v>
      </c>
      <c r="U119" s="10">
        <f t="shared" ca="1" si="49"/>
        <v>108301.2</v>
      </c>
      <c r="V119" s="10">
        <f t="shared" ca="1" si="50"/>
        <v>773580</v>
      </c>
      <c r="W119" s="10">
        <f t="shared" ca="1" si="51"/>
        <v>541506</v>
      </c>
      <c r="X119" s="10">
        <f t="shared" ca="1" si="52"/>
        <v>232074</v>
      </c>
      <c r="Y119" s="12">
        <f t="shared" ca="1" si="53"/>
        <v>0.3</v>
      </c>
      <c r="Z119" s="2" t="str">
        <f t="shared" ca="1" si="54"/>
        <v>Concluída</v>
      </c>
      <c r="AA119" s="8">
        <f t="shared" ca="1" si="55"/>
        <v>27</v>
      </c>
      <c r="AB119" s="2">
        <f t="shared" ca="1" si="56"/>
        <v>27</v>
      </c>
      <c r="AC119" s="2">
        <f t="shared" ca="1" si="57"/>
        <v>10</v>
      </c>
    </row>
    <row r="120" spans="1:29" x14ac:dyDescent="0.25">
      <c r="A120" s="14" t="str">
        <f t="shared" si="29"/>
        <v>VND-00120</v>
      </c>
      <c r="B120" s="5">
        <f t="shared" ca="1" si="30"/>
        <v>45814</v>
      </c>
      <c r="C120" s="2">
        <f t="shared" ca="1" si="31"/>
        <v>2025</v>
      </c>
      <c r="D120" s="2" t="str">
        <f t="shared" ca="1" si="32"/>
        <v>junho</v>
      </c>
      <c r="E120" s="2" t="str">
        <f t="shared" ca="1" si="33"/>
        <v>2025/06</v>
      </c>
      <c r="F120" s="14" t="str">
        <f t="shared" ca="1" si="34"/>
        <v>CLI-6431</v>
      </c>
      <c r="G120" s="2" t="str">
        <f t="shared" ca="1" si="35"/>
        <v>Maria</v>
      </c>
      <c r="H120" s="2" t="str">
        <f t="shared" ca="1" si="36"/>
        <v>Novo</v>
      </c>
      <c r="I120" s="2" t="str">
        <f t="shared" ca="1" si="37"/>
        <v>Ana</v>
      </c>
      <c r="J120" s="14" t="str">
        <f t="shared" ca="1" si="38"/>
        <v>VCL-8302</v>
      </c>
      <c r="K120" s="2" t="str">
        <f t="shared" ca="1" si="39"/>
        <v>Compass</v>
      </c>
      <c r="L120" s="2" t="str">
        <f t="shared" ca="1" si="40"/>
        <v>Jeep</v>
      </c>
      <c r="M120" s="2" t="str">
        <f t="shared" ca="1" si="41"/>
        <v>SUV</v>
      </c>
      <c r="N120" s="2">
        <f t="shared" ca="1" si="42"/>
        <v>2020</v>
      </c>
      <c r="O120" s="2" t="str">
        <f t="shared" ca="1" si="43"/>
        <v>Loja</v>
      </c>
      <c r="P120" s="2" t="str">
        <f t="shared" ca="1" si="44"/>
        <v>Sudeste</v>
      </c>
      <c r="Q120" s="2" t="str">
        <f t="shared" ca="1" si="45"/>
        <v>ES</v>
      </c>
      <c r="R120" s="2" t="str">
        <f t="shared" ca="1" si="46"/>
        <v>Vitória</v>
      </c>
      <c r="S120" s="8">
        <f t="shared" ca="1" si="47"/>
        <v>2</v>
      </c>
      <c r="T120" s="10">
        <f t="shared" ca="1" si="48"/>
        <v>78062</v>
      </c>
      <c r="U120" s="10">
        <f t="shared" ca="1" si="49"/>
        <v>61668.98</v>
      </c>
      <c r="V120" s="10">
        <f t="shared" ca="1" si="50"/>
        <v>156124</v>
      </c>
      <c r="W120" s="10">
        <f t="shared" ca="1" si="51"/>
        <v>123337.96</v>
      </c>
      <c r="X120" s="10">
        <f t="shared" ca="1" si="52"/>
        <v>32786.039999999994</v>
      </c>
      <c r="Y120" s="12">
        <f t="shared" ca="1" si="53"/>
        <v>0.20999999999999996</v>
      </c>
      <c r="Z120" s="2" t="str">
        <f t="shared" ca="1" si="54"/>
        <v>Concluída</v>
      </c>
      <c r="AA120" s="8">
        <f t="shared" ca="1" si="55"/>
        <v>4</v>
      </c>
      <c r="AB120" s="2">
        <f t="shared" ca="1" si="56"/>
        <v>17</v>
      </c>
      <c r="AC120" s="2">
        <f t="shared" ca="1" si="57"/>
        <v>7</v>
      </c>
    </row>
    <row r="121" spans="1:29" x14ac:dyDescent="0.25">
      <c r="A121" s="14" t="str">
        <f t="shared" si="29"/>
        <v>VND-00121</v>
      </c>
      <c r="B121" s="5">
        <f t="shared" ca="1" si="30"/>
        <v>45181</v>
      </c>
      <c r="C121" s="2">
        <f t="shared" ca="1" si="31"/>
        <v>2023</v>
      </c>
      <c r="D121" s="2" t="str">
        <f t="shared" ca="1" si="32"/>
        <v>setembro</v>
      </c>
      <c r="E121" s="2" t="str">
        <f t="shared" ca="1" si="33"/>
        <v>2023/09</v>
      </c>
      <c r="F121" s="14" t="str">
        <f t="shared" ca="1" si="34"/>
        <v>CLI-6769</v>
      </c>
      <c r="G121" s="2" t="str">
        <f t="shared" ca="1" si="35"/>
        <v>Rafael</v>
      </c>
      <c r="H121" s="2" t="str">
        <f t="shared" ca="1" si="36"/>
        <v>Recorrente</v>
      </c>
      <c r="I121" s="2" t="str">
        <f t="shared" ca="1" si="37"/>
        <v>Pedro</v>
      </c>
      <c r="J121" s="14" t="str">
        <f t="shared" ca="1" si="38"/>
        <v>VCL-3665</v>
      </c>
      <c r="K121" s="2" t="str">
        <f t="shared" ca="1" si="39"/>
        <v>Compass</v>
      </c>
      <c r="L121" s="2" t="str">
        <f t="shared" ca="1" si="40"/>
        <v>Jeep</v>
      </c>
      <c r="M121" s="2" t="str">
        <f t="shared" ca="1" si="41"/>
        <v>SUV</v>
      </c>
      <c r="N121" s="2">
        <f t="shared" ca="1" si="42"/>
        <v>2020</v>
      </c>
      <c r="O121" s="2" t="str">
        <f t="shared" ca="1" si="43"/>
        <v>Loja</v>
      </c>
      <c r="P121" s="2" t="str">
        <f t="shared" ca="1" si="44"/>
        <v>Sudeste</v>
      </c>
      <c r="Q121" s="2" t="str">
        <f t="shared" ca="1" si="45"/>
        <v>MG</v>
      </c>
      <c r="R121" s="2" t="str">
        <f t="shared" ca="1" si="46"/>
        <v>Betim</v>
      </c>
      <c r="S121" s="8">
        <f t="shared" ca="1" si="47"/>
        <v>1</v>
      </c>
      <c r="T121" s="10">
        <f t="shared" ca="1" si="48"/>
        <v>127348</v>
      </c>
      <c r="U121" s="10">
        <f t="shared" ca="1" si="49"/>
        <v>95511</v>
      </c>
      <c r="V121" s="10">
        <f t="shared" ca="1" si="50"/>
        <v>127348</v>
      </c>
      <c r="W121" s="10">
        <f t="shared" ca="1" si="51"/>
        <v>95511</v>
      </c>
      <c r="X121" s="10">
        <f t="shared" ca="1" si="52"/>
        <v>31837</v>
      </c>
      <c r="Y121" s="12">
        <f t="shared" ca="1" si="53"/>
        <v>0.25</v>
      </c>
      <c r="Z121" s="2" t="str">
        <f t="shared" ca="1" si="54"/>
        <v>Em negociação</v>
      </c>
      <c r="AA121" s="8">
        <f t="shared" ca="1" si="55"/>
        <v>20</v>
      </c>
      <c r="AB121" s="2">
        <f t="shared" ca="1" si="56"/>
        <v>15</v>
      </c>
      <c r="AC121" s="2">
        <f t="shared" ca="1" si="57"/>
        <v>7</v>
      </c>
    </row>
    <row r="122" spans="1:29" x14ac:dyDescent="0.25">
      <c r="A122" s="14" t="str">
        <f t="shared" si="29"/>
        <v>VND-00122</v>
      </c>
      <c r="B122" s="5">
        <f t="shared" ca="1" si="30"/>
        <v>45139</v>
      </c>
      <c r="C122" s="2">
        <f t="shared" ca="1" si="31"/>
        <v>2023</v>
      </c>
      <c r="D122" s="2" t="str">
        <f t="shared" ca="1" si="32"/>
        <v>agosto</v>
      </c>
      <c r="E122" s="2" t="str">
        <f t="shared" ca="1" si="33"/>
        <v>2023/08</v>
      </c>
      <c r="F122" s="14" t="str">
        <f t="shared" ca="1" si="34"/>
        <v>CLI-7872</v>
      </c>
      <c r="G122" s="2" t="str">
        <f t="shared" ca="1" si="35"/>
        <v>Fernanda</v>
      </c>
      <c r="H122" s="2" t="str">
        <f t="shared" ca="1" si="36"/>
        <v>Novo</v>
      </c>
      <c r="I122" s="2" t="str">
        <f t="shared" ca="1" si="37"/>
        <v>Bruno</v>
      </c>
      <c r="J122" s="14" t="str">
        <f t="shared" ca="1" si="38"/>
        <v>VCL-3155</v>
      </c>
      <c r="K122" s="2" t="str">
        <f t="shared" ca="1" si="39"/>
        <v>Compass</v>
      </c>
      <c r="L122" s="2" t="str">
        <f t="shared" ca="1" si="40"/>
        <v>Jeep</v>
      </c>
      <c r="M122" s="2" t="str">
        <f t="shared" ca="1" si="41"/>
        <v>SUV</v>
      </c>
      <c r="N122" s="2">
        <f t="shared" ca="1" si="42"/>
        <v>2023</v>
      </c>
      <c r="O122" s="2" t="str">
        <f t="shared" ca="1" si="43"/>
        <v>Online</v>
      </c>
      <c r="P122" s="2" t="str">
        <f t="shared" ca="1" si="44"/>
        <v>Sul</v>
      </c>
      <c r="Q122" s="2" t="str">
        <f t="shared" ca="1" si="45"/>
        <v>SC</v>
      </c>
      <c r="R122" s="2" t="str">
        <f t="shared" ca="1" si="46"/>
        <v>Blumenau</v>
      </c>
      <c r="S122" s="8">
        <f t="shared" ca="1" si="47"/>
        <v>3</v>
      </c>
      <c r="T122" s="10">
        <f t="shared" ca="1" si="48"/>
        <v>160058</v>
      </c>
      <c r="U122" s="10">
        <f t="shared" ca="1" si="49"/>
        <v>128046.40000000001</v>
      </c>
      <c r="V122" s="10">
        <f t="shared" ca="1" si="50"/>
        <v>480174</v>
      </c>
      <c r="W122" s="10">
        <f t="shared" ca="1" si="51"/>
        <v>384139.2</v>
      </c>
      <c r="X122" s="10">
        <f t="shared" ca="1" si="52"/>
        <v>96034.799999999988</v>
      </c>
      <c r="Y122" s="12">
        <f t="shared" ca="1" si="53"/>
        <v>0.19999999999999998</v>
      </c>
      <c r="Z122" s="2" t="str">
        <f t="shared" ca="1" si="54"/>
        <v>Cancelada</v>
      </c>
      <c r="AA122" s="8">
        <f t="shared" ca="1" si="55"/>
        <v>1</v>
      </c>
      <c r="AB122" s="2">
        <f t="shared" ca="1" si="56"/>
        <v>6</v>
      </c>
      <c r="AC122" s="2">
        <f t="shared" ca="1" si="57"/>
        <v>7</v>
      </c>
    </row>
    <row r="123" spans="1:29" x14ac:dyDescent="0.25">
      <c r="A123" s="14" t="str">
        <f t="shared" si="29"/>
        <v>VND-00123</v>
      </c>
      <c r="B123" s="5">
        <f t="shared" ca="1" si="30"/>
        <v>45339</v>
      </c>
      <c r="C123" s="2">
        <f t="shared" ca="1" si="31"/>
        <v>2024</v>
      </c>
      <c r="D123" s="2" t="str">
        <f t="shared" ca="1" si="32"/>
        <v>fevereiro</v>
      </c>
      <c r="E123" s="2" t="str">
        <f t="shared" ca="1" si="33"/>
        <v>2024/02</v>
      </c>
      <c r="F123" s="14" t="str">
        <f t="shared" ca="1" si="34"/>
        <v>CLI-5780</v>
      </c>
      <c r="G123" s="2" t="str">
        <f t="shared" ca="1" si="35"/>
        <v>Juliana</v>
      </c>
      <c r="H123" s="2" t="str">
        <f t="shared" ca="1" si="36"/>
        <v>Novo</v>
      </c>
      <c r="I123" s="2" t="str">
        <f t="shared" ca="1" si="37"/>
        <v>Gustavo</v>
      </c>
      <c r="J123" s="14" t="str">
        <f t="shared" ca="1" si="38"/>
        <v>VCL-1210</v>
      </c>
      <c r="K123" s="2" t="str">
        <f t="shared" ca="1" si="39"/>
        <v>HB20</v>
      </c>
      <c r="L123" s="2" t="str">
        <f t="shared" ca="1" si="40"/>
        <v>Hyundai</v>
      </c>
      <c r="M123" s="2" t="str">
        <f t="shared" ca="1" si="41"/>
        <v>Popular</v>
      </c>
      <c r="N123" s="2">
        <f t="shared" ca="1" si="42"/>
        <v>2018</v>
      </c>
      <c r="O123" s="2" t="str">
        <f t="shared" ca="1" si="43"/>
        <v>Loja</v>
      </c>
      <c r="P123" s="2" t="str">
        <f t="shared" ca="1" si="44"/>
        <v>Centro-Oeste</v>
      </c>
      <c r="Q123" s="2" t="str">
        <f t="shared" ca="1" si="45"/>
        <v>GO</v>
      </c>
      <c r="R123" s="2" t="str">
        <f t="shared" ca="1" si="46"/>
        <v>Anápolis</v>
      </c>
      <c r="S123" s="8">
        <f t="shared" ca="1" si="47"/>
        <v>8</v>
      </c>
      <c r="T123" s="10">
        <f t="shared" ca="1" si="48"/>
        <v>145022</v>
      </c>
      <c r="U123" s="10">
        <f t="shared" ca="1" si="49"/>
        <v>116017.60000000001</v>
      </c>
      <c r="V123" s="10">
        <f t="shared" ca="1" si="50"/>
        <v>1160176</v>
      </c>
      <c r="W123" s="10">
        <f t="shared" ca="1" si="51"/>
        <v>928140.80000000005</v>
      </c>
      <c r="X123" s="10">
        <f t="shared" ca="1" si="52"/>
        <v>232035.19999999995</v>
      </c>
      <c r="Y123" s="12">
        <f t="shared" ca="1" si="53"/>
        <v>0.19999999999999996</v>
      </c>
      <c r="Z123" s="2" t="str">
        <f t="shared" ca="1" si="54"/>
        <v>Cancelada</v>
      </c>
      <c r="AA123" s="8">
        <f t="shared" ca="1" si="55"/>
        <v>3</v>
      </c>
      <c r="AB123" s="2">
        <f t="shared" ca="1" si="56"/>
        <v>22</v>
      </c>
      <c r="AC123" s="2">
        <f t="shared" ca="1" si="57"/>
        <v>10</v>
      </c>
    </row>
    <row r="124" spans="1:29" x14ac:dyDescent="0.25">
      <c r="A124" s="14" t="str">
        <f t="shared" si="29"/>
        <v>VND-00124</v>
      </c>
      <c r="B124" s="5">
        <f t="shared" ca="1" si="30"/>
        <v>45624</v>
      </c>
      <c r="C124" s="2">
        <f t="shared" ca="1" si="31"/>
        <v>2024</v>
      </c>
      <c r="D124" s="2" t="str">
        <f t="shared" ca="1" si="32"/>
        <v>novembro</v>
      </c>
      <c r="E124" s="2" t="str">
        <f t="shared" ca="1" si="33"/>
        <v>2024/11</v>
      </c>
      <c r="F124" s="14" t="str">
        <f t="shared" ca="1" si="34"/>
        <v>CLI-9271</v>
      </c>
      <c r="G124" s="2" t="str">
        <f t="shared" ca="1" si="35"/>
        <v>João</v>
      </c>
      <c r="H124" s="2" t="str">
        <f t="shared" ca="1" si="36"/>
        <v>Novo</v>
      </c>
      <c r="I124" s="2" t="str">
        <f t="shared" ca="1" si="37"/>
        <v>Marcos</v>
      </c>
      <c r="J124" s="14" t="str">
        <f t="shared" ca="1" si="38"/>
        <v>VCL-3994</v>
      </c>
      <c r="K124" s="2" t="str">
        <f t="shared" ca="1" si="39"/>
        <v>Civic</v>
      </c>
      <c r="L124" s="2" t="str">
        <f t="shared" ca="1" si="40"/>
        <v>Honda</v>
      </c>
      <c r="M124" s="2" t="str">
        <f t="shared" ca="1" si="41"/>
        <v>SUV</v>
      </c>
      <c r="N124" s="2">
        <f t="shared" ca="1" si="42"/>
        <v>2023</v>
      </c>
      <c r="O124" s="2" t="str">
        <f t="shared" ca="1" si="43"/>
        <v>Loja</v>
      </c>
      <c r="P124" s="2" t="str">
        <f t="shared" ca="1" si="44"/>
        <v>Sul</v>
      </c>
      <c r="Q124" s="2" t="str">
        <f t="shared" ca="1" si="45"/>
        <v>RS</v>
      </c>
      <c r="R124" s="2" t="str">
        <f t="shared" ca="1" si="46"/>
        <v>Pelotas</v>
      </c>
      <c r="S124" s="8">
        <f t="shared" ca="1" si="47"/>
        <v>3</v>
      </c>
      <c r="T124" s="10">
        <f t="shared" ca="1" si="48"/>
        <v>213658</v>
      </c>
      <c r="U124" s="10">
        <f t="shared" ca="1" si="49"/>
        <v>170926.40000000002</v>
      </c>
      <c r="V124" s="10">
        <f t="shared" ca="1" si="50"/>
        <v>640974</v>
      </c>
      <c r="W124" s="10">
        <f t="shared" ca="1" si="51"/>
        <v>512779.20000000007</v>
      </c>
      <c r="X124" s="10">
        <f t="shared" ca="1" si="52"/>
        <v>128194.79999999993</v>
      </c>
      <c r="Y124" s="12">
        <f t="shared" ca="1" si="53"/>
        <v>0.1999999999999999</v>
      </c>
      <c r="Z124" s="2" t="str">
        <f t="shared" ca="1" si="54"/>
        <v>Cancelada</v>
      </c>
      <c r="AA124" s="8">
        <f t="shared" ca="1" si="55"/>
        <v>7</v>
      </c>
      <c r="AB124" s="2">
        <f t="shared" ca="1" si="56"/>
        <v>8</v>
      </c>
      <c r="AC124" s="2">
        <f t="shared" ca="1" si="57"/>
        <v>7</v>
      </c>
    </row>
    <row r="125" spans="1:29" x14ac:dyDescent="0.25">
      <c r="A125" s="14" t="str">
        <f t="shared" si="29"/>
        <v>VND-00125</v>
      </c>
      <c r="B125" s="5">
        <f t="shared" ca="1" si="30"/>
        <v>45558</v>
      </c>
      <c r="C125" s="2">
        <f t="shared" ca="1" si="31"/>
        <v>2024</v>
      </c>
      <c r="D125" s="2" t="str">
        <f t="shared" ca="1" si="32"/>
        <v>setembro</v>
      </c>
      <c r="E125" s="2" t="str">
        <f t="shared" ca="1" si="33"/>
        <v>2024/09</v>
      </c>
      <c r="F125" s="14" t="str">
        <f t="shared" ca="1" si="34"/>
        <v>CLI-7426</v>
      </c>
      <c r="G125" s="2" t="str">
        <f t="shared" ca="1" si="35"/>
        <v>Rafael</v>
      </c>
      <c r="H125" s="2" t="str">
        <f t="shared" ca="1" si="36"/>
        <v>Novo</v>
      </c>
      <c r="I125" s="2" t="str">
        <f t="shared" ca="1" si="37"/>
        <v>Amanda</v>
      </c>
      <c r="J125" s="14" t="str">
        <f t="shared" ca="1" si="38"/>
        <v>VCL-1531</v>
      </c>
      <c r="K125" s="2" t="str">
        <f t="shared" ca="1" si="39"/>
        <v>BMW X1</v>
      </c>
      <c r="L125" s="2" t="str">
        <f t="shared" ca="1" si="40"/>
        <v>BMW</v>
      </c>
      <c r="M125" s="2" t="str">
        <f t="shared" ca="1" si="41"/>
        <v>Luxo</v>
      </c>
      <c r="N125" s="2">
        <f t="shared" ca="1" si="42"/>
        <v>2024</v>
      </c>
      <c r="O125" s="2" t="str">
        <f t="shared" ca="1" si="43"/>
        <v>Loja</v>
      </c>
      <c r="P125" s="2" t="str">
        <f t="shared" ca="1" si="44"/>
        <v>Norte</v>
      </c>
      <c r="Q125" s="2" t="str">
        <f t="shared" ca="1" si="45"/>
        <v>AM</v>
      </c>
      <c r="R125" s="2" t="str">
        <f t="shared" ca="1" si="46"/>
        <v>Coari</v>
      </c>
      <c r="S125" s="8">
        <f t="shared" ca="1" si="47"/>
        <v>9</v>
      </c>
      <c r="T125" s="10">
        <f t="shared" ca="1" si="48"/>
        <v>173611</v>
      </c>
      <c r="U125" s="10">
        <f t="shared" ca="1" si="49"/>
        <v>133680.47</v>
      </c>
      <c r="V125" s="10">
        <f t="shared" ca="1" si="50"/>
        <v>1562499</v>
      </c>
      <c r="W125" s="10">
        <f t="shared" ca="1" si="51"/>
        <v>1203124.23</v>
      </c>
      <c r="X125" s="10">
        <f t="shared" ca="1" si="52"/>
        <v>359374.77</v>
      </c>
      <c r="Y125" s="12">
        <f t="shared" ca="1" si="53"/>
        <v>0.23</v>
      </c>
      <c r="Z125" s="2" t="str">
        <f t="shared" ca="1" si="54"/>
        <v>Em negociação</v>
      </c>
      <c r="AA125" s="8">
        <f t="shared" ca="1" si="55"/>
        <v>10</v>
      </c>
      <c r="AB125" s="2">
        <f t="shared" ca="1" si="56"/>
        <v>8</v>
      </c>
      <c r="AC125" s="2">
        <f t="shared" ca="1" si="57"/>
        <v>3</v>
      </c>
    </row>
    <row r="126" spans="1:29" x14ac:dyDescent="0.25">
      <c r="A126" s="14" t="str">
        <f t="shared" si="29"/>
        <v>VND-00126</v>
      </c>
      <c r="B126" s="5">
        <f t="shared" ca="1" si="30"/>
        <v>45908</v>
      </c>
      <c r="C126" s="2">
        <f t="shared" ca="1" si="31"/>
        <v>2025</v>
      </c>
      <c r="D126" s="2" t="str">
        <f t="shared" ca="1" si="32"/>
        <v>setembro</v>
      </c>
      <c r="E126" s="2" t="str">
        <f t="shared" ca="1" si="33"/>
        <v>2025/09</v>
      </c>
      <c r="F126" s="14" t="str">
        <f t="shared" ca="1" si="34"/>
        <v>CLI-8910</v>
      </c>
      <c r="G126" s="2" t="str">
        <f t="shared" ca="1" si="35"/>
        <v>Lucas</v>
      </c>
      <c r="H126" s="2" t="str">
        <f t="shared" ca="1" si="36"/>
        <v>Novo</v>
      </c>
      <c r="I126" s="2" t="str">
        <f t="shared" ca="1" si="37"/>
        <v>Bruno</v>
      </c>
      <c r="J126" s="14" t="str">
        <f t="shared" ca="1" si="38"/>
        <v>VCL-2733</v>
      </c>
      <c r="K126" s="2" t="str">
        <f t="shared" ca="1" si="39"/>
        <v>HB20</v>
      </c>
      <c r="L126" s="2" t="str">
        <f t="shared" ca="1" si="40"/>
        <v>Hyundai</v>
      </c>
      <c r="M126" s="2" t="str">
        <f t="shared" ca="1" si="41"/>
        <v>Popular</v>
      </c>
      <c r="N126" s="2">
        <f t="shared" ca="1" si="42"/>
        <v>2020</v>
      </c>
      <c r="O126" s="2" t="str">
        <f t="shared" ca="1" si="43"/>
        <v>Loja</v>
      </c>
      <c r="P126" s="2" t="str">
        <f t="shared" ca="1" si="44"/>
        <v>Sul</v>
      </c>
      <c r="Q126" s="2" t="str">
        <f t="shared" ca="1" si="45"/>
        <v>PR</v>
      </c>
      <c r="R126" s="2" t="str">
        <f t="shared" ca="1" si="46"/>
        <v>Cascavel</v>
      </c>
      <c r="S126" s="8">
        <f t="shared" ca="1" si="47"/>
        <v>9</v>
      </c>
      <c r="T126" s="10">
        <f t="shared" ca="1" si="48"/>
        <v>146051</v>
      </c>
      <c r="U126" s="10">
        <f t="shared" ca="1" si="49"/>
        <v>112459.27</v>
      </c>
      <c r="V126" s="10">
        <f t="shared" ca="1" si="50"/>
        <v>1314459</v>
      </c>
      <c r="W126" s="10">
        <f t="shared" ca="1" si="51"/>
        <v>1012133.43</v>
      </c>
      <c r="X126" s="10">
        <f t="shared" ca="1" si="52"/>
        <v>302325.56999999995</v>
      </c>
      <c r="Y126" s="12">
        <f t="shared" ca="1" si="53"/>
        <v>0.22999999999999995</v>
      </c>
      <c r="Z126" s="2" t="str">
        <f t="shared" ca="1" si="54"/>
        <v>Concluída</v>
      </c>
      <c r="AA126" s="8">
        <f t="shared" ca="1" si="55"/>
        <v>8</v>
      </c>
      <c r="AB126" s="2">
        <f t="shared" ca="1" si="56"/>
        <v>18</v>
      </c>
      <c r="AC126" s="2">
        <f t="shared" ca="1" si="57"/>
        <v>10</v>
      </c>
    </row>
    <row r="127" spans="1:29" x14ac:dyDescent="0.25">
      <c r="A127" s="14" t="str">
        <f t="shared" si="29"/>
        <v>VND-00127</v>
      </c>
      <c r="B127" s="5">
        <f t="shared" ca="1" si="30"/>
        <v>45026</v>
      </c>
      <c r="C127" s="2">
        <f t="shared" ca="1" si="31"/>
        <v>2023</v>
      </c>
      <c r="D127" s="2" t="str">
        <f t="shared" ca="1" si="32"/>
        <v>abril</v>
      </c>
      <c r="E127" s="2" t="str">
        <f t="shared" ca="1" si="33"/>
        <v>2023/04</v>
      </c>
      <c r="F127" s="14" t="str">
        <f t="shared" ca="1" si="34"/>
        <v>CLI-2924</v>
      </c>
      <c r="G127" s="2" t="str">
        <f t="shared" ca="1" si="35"/>
        <v>Juliana</v>
      </c>
      <c r="H127" s="2" t="str">
        <f t="shared" ca="1" si="36"/>
        <v>Recorrente</v>
      </c>
      <c r="I127" s="2" t="str">
        <f t="shared" ca="1" si="37"/>
        <v>Carlos</v>
      </c>
      <c r="J127" s="14" t="str">
        <f t="shared" ca="1" si="38"/>
        <v>VCL-6853</v>
      </c>
      <c r="K127" s="2" t="str">
        <f t="shared" ca="1" si="39"/>
        <v>Corolla</v>
      </c>
      <c r="L127" s="2" t="str">
        <f t="shared" ca="1" si="40"/>
        <v>Toyota</v>
      </c>
      <c r="M127" s="2" t="str">
        <f t="shared" ca="1" si="41"/>
        <v>SUV</v>
      </c>
      <c r="N127" s="2">
        <f t="shared" ca="1" si="42"/>
        <v>2017</v>
      </c>
      <c r="O127" s="2" t="str">
        <f t="shared" ca="1" si="43"/>
        <v>Online</v>
      </c>
      <c r="P127" s="2" t="str">
        <f t="shared" ca="1" si="44"/>
        <v>Norte</v>
      </c>
      <c r="Q127" s="2" t="str">
        <f t="shared" ca="1" si="45"/>
        <v>PA</v>
      </c>
      <c r="R127" s="2" t="str">
        <f t="shared" ca="1" si="46"/>
        <v>Belém</v>
      </c>
      <c r="S127" s="8">
        <f t="shared" ca="1" si="47"/>
        <v>9</v>
      </c>
      <c r="T127" s="10">
        <f t="shared" ca="1" si="48"/>
        <v>63920</v>
      </c>
      <c r="U127" s="10">
        <f t="shared" ca="1" si="49"/>
        <v>54332</v>
      </c>
      <c r="V127" s="10">
        <f t="shared" ca="1" si="50"/>
        <v>575280</v>
      </c>
      <c r="W127" s="10">
        <f t="shared" ca="1" si="51"/>
        <v>488988</v>
      </c>
      <c r="X127" s="10">
        <f t="shared" ca="1" si="52"/>
        <v>86292</v>
      </c>
      <c r="Y127" s="12">
        <f t="shared" ca="1" si="53"/>
        <v>0.15</v>
      </c>
      <c r="Z127" s="2" t="str">
        <f t="shared" ca="1" si="54"/>
        <v>Concluída</v>
      </c>
      <c r="AA127" s="8">
        <f t="shared" ca="1" si="55"/>
        <v>9</v>
      </c>
      <c r="AB127" s="2">
        <f t="shared" ca="1" si="56"/>
        <v>15</v>
      </c>
      <c r="AC127" s="2">
        <f t="shared" ca="1" si="57"/>
        <v>7</v>
      </c>
    </row>
    <row r="128" spans="1:29" x14ac:dyDescent="0.25">
      <c r="A128" s="14" t="str">
        <f t="shared" si="29"/>
        <v>VND-00128</v>
      </c>
      <c r="B128" s="5">
        <f t="shared" ca="1" si="30"/>
        <v>45067</v>
      </c>
      <c r="C128" s="2">
        <f t="shared" ca="1" si="31"/>
        <v>2023</v>
      </c>
      <c r="D128" s="2" t="str">
        <f t="shared" ca="1" si="32"/>
        <v>maio</v>
      </c>
      <c r="E128" s="2" t="str">
        <f t="shared" ca="1" si="33"/>
        <v>2023/05</v>
      </c>
      <c r="F128" s="14" t="str">
        <f t="shared" ca="1" si="34"/>
        <v>CLI-6862</v>
      </c>
      <c r="G128" s="2" t="str">
        <f t="shared" ca="1" si="35"/>
        <v>Maria</v>
      </c>
      <c r="H128" s="2" t="str">
        <f t="shared" ca="1" si="36"/>
        <v>Novo</v>
      </c>
      <c r="I128" s="2" t="str">
        <f t="shared" ca="1" si="37"/>
        <v>Carla</v>
      </c>
      <c r="J128" s="14" t="str">
        <f t="shared" ca="1" si="38"/>
        <v>VCL-7192</v>
      </c>
      <c r="K128" s="2" t="str">
        <f t="shared" ca="1" si="39"/>
        <v>Corolla</v>
      </c>
      <c r="L128" s="2" t="str">
        <f t="shared" ca="1" si="40"/>
        <v>Toyota</v>
      </c>
      <c r="M128" s="2" t="str">
        <f t="shared" ca="1" si="41"/>
        <v>SUV</v>
      </c>
      <c r="N128" s="2">
        <f t="shared" ca="1" si="42"/>
        <v>2019</v>
      </c>
      <c r="O128" s="2" t="str">
        <f t="shared" ca="1" si="43"/>
        <v>Loja</v>
      </c>
      <c r="P128" s="2" t="str">
        <f t="shared" ca="1" si="44"/>
        <v>Sul</v>
      </c>
      <c r="Q128" s="2" t="str">
        <f t="shared" ca="1" si="45"/>
        <v>PR</v>
      </c>
      <c r="R128" s="2" t="str">
        <f t="shared" ca="1" si="46"/>
        <v>Curitiba</v>
      </c>
      <c r="S128" s="8">
        <f t="shared" ca="1" si="47"/>
        <v>3</v>
      </c>
      <c r="T128" s="10">
        <f t="shared" ca="1" si="48"/>
        <v>99026</v>
      </c>
      <c r="U128" s="10">
        <f t="shared" ca="1" si="49"/>
        <v>71298.720000000001</v>
      </c>
      <c r="V128" s="10">
        <f t="shared" ca="1" si="50"/>
        <v>297078</v>
      </c>
      <c r="W128" s="10">
        <f t="shared" ca="1" si="51"/>
        <v>213896.16</v>
      </c>
      <c r="X128" s="10">
        <f t="shared" ca="1" si="52"/>
        <v>83181.84</v>
      </c>
      <c r="Y128" s="12">
        <f t="shared" ca="1" si="53"/>
        <v>0.27999999999999997</v>
      </c>
      <c r="Z128" s="2" t="str">
        <f t="shared" ca="1" si="54"/>
        <v>Em negociação</v>
      </c>
      <c r="AA128" s="8">
        <f t="shared" ca="1" si="55"/>
        <v>23</v>
      </c>
      <c r="AB128" s="2">
        <f t="shared" ca="1" si="56"/>
        <v>17</v>
      </c>
      <c r="AC128" s="2">
        <f t="shared" ca="1" si="57"/>
        <v>7</v>
      </c>
    </row>
    <row r="129" spans="1:29" x14ac:dyDescent="0.25">
      <c r="A129" s="14" t="str">
        <f t="shared" si="29"/>
        <v>VND-00129</v>
      </c>
      <c r="B129" s="5">
        <f t="shared" ca="1" si="30"/>
        <v>46001</v>
      </c>
      <c r="C129" s="2">
        <f t="shared" ca="1" si="31"/>
        <v>2025</v>
      </c>
      <c r="D129" s="2" t="str">
        <f t="shared" ca="1" si="32"/>
        <v>dezembro</v>
      </c>
      <c r="E129" s="2" t="str">
        <f t="shared" ca="1" si="33"/>
        <v>2025/12</v>
      </c>
      <c r="F129" s="14" t="str">
        <f t="shared" ca="1" si="34"/>
        <v>CLI-9543</v>
      </c>
      <c r="G129" s="2" t="str">
        <f t="shared" ca="1" si="35"/>
        <v>Fernanda</v>
      </c>
      <c r="H129" s="2" t="str">
        <f t="shared" ca="1" si="36"/>
        <v>Novo</v>
      </c>
      <c r="I129" s="2" t="str">
        <f t="shared" ca="1" si="37"/>
        <v>Roberto</v>
      </c>
      <c r="J129" s="14" t="str">
        <f t="shared" ca="1" si="38"/>
        <v>VCL-4340</v>
      </c>
      <c r="K129" s="2" t="str">
        <f t="shared" ca="1" si="39"/>
        <v>Compass</v>
      </c>
      <c r="L129" s="2" t="str">
        <f t="shared" ca="1" si="40"/>
        <v>Jeep</v>
      </c>
      <c r="M129" s="2" t="str">
        <f t="shared" ca="1" si="41"/>
        <v>SUV</v>
      </c>
      <c r="N129" s="2">
        <f t="shared" ca="1" si="42"/>
        <v>2018</v>
      </c>
      <c r="O129" s="2" t="str">
        <f t="shared" ca="1" si="43"/>
        <v>Online</v>
      </c>
      <c r="P129" s="2" t="str">
        <f t="shared" ca="1" si="44"/>
        <v>Nordeste</v>
      </c>
      <c r="Q129" s="2" t="str">
        <f t="shared" ca="1" si="45"/>
        <v>CE</v>
      </c>
      <c r="R129" s="2" t="str">
        <f t="shared" ca="1" si="46"/>
        <v>Sobral</v>
      </c>
      <c r="S129" s="8">
        <f t="shared" ca="1" si="47"/>
        <v>7</v>
      </c>
      <c r="T129" s="10">
        <f t="shared" ca="1" si="48"/>
        <v>118415</v>
      </c>
      <c r="U129" s="10">
        <f t="shared" ca="1" si="49"/>
        <v>84074.65</v>
      </c>
      <c r="V129" s="10">
        <f t="shared" ca="1" si="50"/>
        <v>828905</v>
      </c>
      <c r="W129" s="10">
        <f t="shared" ca="1" si="51"/>
        <v>588522.54999999993</v>
      </c>
      <c r="X129" s="10">
        <f t="shared" ca="1" si="52"/>
        <v>240382.45000000007</v>
      </c>
      <c r="Y129" s="12">
        <f t="shared" ca="1" si="53"/>
        <v>0.29000000000000009</v>
      </c>
      <c r="Z129" s="2" t="str">
        <f t="shared" ca="1" si="54"/>
        <v>Concluída</v>
      </c>
      <c r="AA129" s="8">
        <f t="shared" ca="1" si="55"/>
        <v>24</v>
      </c>
      <c r="AB129" s="2">
        <f t="shared" ca="1" si="56"/>
        <v>5</v>
      </c>
      <c r="AC129" s="2">
        <f t="shared" ca="1" si="57"/>
        <v>7</v>
      </c>
    </row>
    <row r="130" spans="1:29" x14ac:dyDescent="0.25">
      <c r="A130" s="14" t="str">
        <f t="shared" si="29"/>
        <v>VND-00130</v>
      </c>
      <c r="B130" s="5">
        <f t="shared" ca="1" si="30"/>
        <v>45492</v>
      </c>
      <c r="C130" s="2">
        <f t="shared" ca="1" si="31"/>
        <v>2024</v>
      </c>
      <c r="D130" s="2" t="str">
        <f t="shared" ca="1" si="32"/>
        <v>julho</v>
      </c>
      <c r="E130" s="2" t="str">
        <f t="shared" ca="1" si="33"/>
        <v>2024/07</v>
      </c>
      <c r="F130" s="14" t="str">
        <f t="shared" ca="1" si="34"/>
        <v>CLI-9944</v>
      </c>
      <c r="G130" s="2" t="str">
        <f t="shared" ca="1" si="35"/>
        <v>Ana</v>
      </c>
      <c r="H130" s="2" t="str">
        <f t="shared" ca="1" si="36"/>
        <v>Novo</v>
      </c>
      <c r="I130" s="2" t="str">
        <f t="shared" ca="1" si="37"/>
        <v>Ana</v>
      </c>
      <c r="J130" s="14" t="str">
        <f t="shared" ca="1" si="38"/>
        <v>VCL-2683</v>
      </c>
      <c r="K130" s="2" t="str">
        <f t="shared" ca="1" si="39"/>
        <v>Compass</v>
      </c>
      <c r="L130" s="2" t="str">
        <f t="shared" ca="1" si="40"/>
        <v>Jeep</v>
      </c>
      <c r="M130" s="2" t="str">
        <f t="shared" ca="1" si="41"/>
        <v>SUV</v>
      </c>
      <c r="N130" s="2">
        <f t="shared" ca="1" si="42"/>
        <v>2018</v>
      </c>
      <c r="O130" s="2" t="str">
        <f t="shared" ca="1" si="43"/>
        <v>Online</v>
      </c>
      <c r="P130" s="2" t="str">
        <f t="shared" ca="1" si="44"/>
        <v>Sudeste</v>
      </c>
      <c r="Q130" s="2" t="str">
        <f t="shared" ca="1" si="45"/>
        <v>MG</v>
      </c>
      <c r="R130" s="2" t="str">
        <f t="shared" ca="1" si="46"/>
        <v>Betim</v>
      </c>
      <c r="S130" s="8">
        <f t="shared" ca="1" si="47"/>
        <v>2</v>
      </c>
      <c r="T130" s="10">
        <f t="shared" ca="1" si="48"/>
        <v>218993</v>
      </c>
      <c r="U130" s="10">
        <f t="shared" ca="1" si="49"/>
        <v>162054.82</v>
      </c>
      <c r="V130" s="10">
        <f t="shared" ca="1" si="50"/>
        <v>437986</v>
      </c>
      <c r="W130" s="10">
        <f t="shared" ca="1" si="51"/>
        <v>324109.64</v>
      </c>
      <c r="X130" s="10">
        <f t="shared" ca="1" si="52"/>
        <v>113876.35999999999</v>
      </c>
      <c r="Y130" s="12">
        <f t="shared" ca="1" si="53"/>
        <v>0.25999999999999995</v>
      </c>
      <c r="Z130" s="2" t="str">
        <f t="shared" ca="1" si="54"/>
        <v>Concluída</v>
      </c>
      <c r="AA130" s="8">
        <f t="shared" ca="1" si="55"/>
        <v>25</v>
      </c>
      <c r="AB130" s="2">
        <f t="shared" ca="1" si="56"/>
        <v>13</v>
      </c>
      <c r="AC130" s="2">
        <f t="shared" ca="1" si="57"/>
        <v>7</v>
      </c>
    </row>
    <row r="131" spans="1:29" x14ac:dyDescent="0.25">
      <c r="A131" s="14" t="str">
        <f t="shared" ref="A131:A194" si="58">"VND-"&amp;TEXT(ROW(A131),"00000")</f>
        <v>VND-00131</v>
      </c>
      <c r="B131" s="5">
        <f t="shared" ref="B131:B194" ca="1" si="59">DATE(RANDBETWEEN(2023,2025),RANDBETWEEN(1,12),RANDBETWEEN(1,28))</f>
        <v>45462</v>
      </c>
      <c r="C131" s="2">
        <f t="shared" ref="C131:C194" ca="1" si="60">YEAR(B131)</f>
        <v>2024</v>
      </c>
      <c r="D131" s="2" t="str">
        <f t="shared" ref="D131:D194" ca="1" si="61">TEXT(B131,"mmmm")</f>
        <v>junho</v>
      </c>
      <c r="E131" s="2" t="str">
        <f t="shared" ref="E131:E194" ca="1" si="62">YEAR(B131)&amp;"/"&amp;TEXT(MONTH(B131),"00")</f>
        <v>2024/06</v>
      </c>
      <c r="F131" s="14" t="str">
        <f t="shared" ref="F131:F194" ca="1" si="63">"CLI-"&amp;RANDBETWEEN(1000,9999)</f>
        <v>CLI-9903</v>
      </c>
      <c r="G131" s="2" t="str">
        <f t="shared" ref="G131:G194" ca="1" si="64">CHOOSE(RANDBETWEEN(1,8),
"João","Maria","Carlos","Ana",
"Lucas","Fernanda","Rafael","Juliana")</f>
        <v>Carlos</v>
      </c>
      <c r="H131" s="2" t="str">
        <f t="shared" ref="H131:H194" ca="1" si="65">IF(RANDBETWEEN(1,10)&gt;6,"Recorrente","Novo")</f>
        <v>Recorrente</v>
      </c>
      <c r="I131" s="2" t="str">
        <f t="shared" ref="I131:I194" ca="1" si="66">IF(P131="Sudeste",CHOOSE(RANDBETWEEN(1,5),"João","Maria","Pedro","Ana","Lucas"),
IF(P131="Sul",CHOOSE(RANDBETWEEN(1,5),"Bruno","Carla","Rafael","Juliana","Marcos"),
IF(P131="Nordeste",CHOOSE(RANDBETWEEN(1,5),"Diego","Fernanda","Roberto","Patricia","André"),
IF(P131="Norte",CHOOSE(RANDBETWEEN(1,5),"Carlos","Amanda","Ricardo","Tatiane","Felipe"),
IF(P131="Centro-Oeste",CHOOSE(RANDBETWEEN(1,5),"Gustavo","Camila","Vinicius","Larissa","Eduardo"),
"")))))</f>
        <v>João</v>
      </c>
      <c r="J131" s="14" t="str">
        <f t="shared" ref="J131:J194" ca="1" si="67">"VCL-"&amp;RANDBETWEEN(1000,9999)</f>
        <v>VCL-2953</v>
      </c>
      <c r="K131" s="2" t="str">
        <f t="shared" ref="K131:K194" ca="1" si="68">CHOOSE(RANDBETWEEN(1,6),
"Onix","HB20","Corolla","Civic","Compass","BMW X1")</f>
        <v>Civic</v>
      </c>
      <c r="L131" s="2" t="str">
        <f t="shared" ref="L131:L194" ca="1" si="69">IF(OR(K131="Onix",K131="Tracker"),"Chevrolet",
IF(OR(K131="HB20"),"Hyundai",
IF(OR(K131="Corolla"),"Toyota",
IF(OR(K131="Civic"),"Honda",
IF(OR(K131="Compass"),"Jeep",
"BMW")))))</f>
        <v>Honda</v>
      </c>
      <c r="M131" s="2" t="str">
        <f t="shared" ref="M131:M194" ca="1" si="70">IF(OR(K131="Onix",K131="HB20"),"Popular",
IF(OR(K131="Corolla",K131="Civic"),"SUV",
IF(K131="Compass","SUV",
IF(K131="BMW X1","Luxo","Esportivo"))))</f>
        <v>SUV</v>
      </c>
      <c r="N131" s="2">
        <f t="shared" ref="N131:N194" ca="1" si="71">IF(RANDBETWEEN(1,10)&lt;=7,RANDBETWEEN(2020,2024),RANDBETWEEN(2015,2019))</f>
        <v>2016</v>
      </c>
      <c r="O131" s="2" t="str">
        <f t="shared" ref="O131:O194" ca="1" si="72">IF(RANDBETWEEN(1,10)&lt;=7,"Loja","Online")</f>
        <v>Loja</v>
      </c>
      <c r="P131" s="2" t="str">
        <f t="shared" ref="P131:P194" ca="1" si="73">CHOOSE(RANDBETWEEN(1,5),"Sudeste","Sul","Nordeste","Norte","Centro-Oeste")</f>
        <v>Sudeste</v>
      </c>
      <c r="Q131" s="2" t="str">
        <f t="shared" ref="Q131:Q194" ca="1" si="74">IF(P131="Sudeste",CHOOSE(RANDBETWEEN(1,4),"SP","RJ","MG","ES"),
IF(P131="Sul",CHOOSE(RANDBETWEEN(1,3),"PR","SC","RS"),
IF(P131="Nordeste",CHOOSE(RANDBETWEEN(1,3),"BA","PE","CE"),
IF(P131="Centro-Oeste",CHOOSE(RANDBETWEEN(1,3),"GO","MT","DF"),
IF(P131="Norte",CHOOSE(RANDBETWEEN(1,2),"AM","PA"),
"GO")))))</f>
        <v>RJ</v>
      </c>
      <c r="R131" s="2" t="str">
        <f t="shared" ref="R131:R194" ca="1" si="75">IF(Q131="SP",CHOOSE(RANDBETWEEN(1,5),"São Paulo","Campinas","Santos","Sorocaba","Ribeirão Preto"),
IF(Q131="RJ",CHOOSE(RANDBETWEEN(1,5),"Rio de Janeiro","Niterói","Duque de Caxias","Nova Iguaçu","Petrópolis"),
IF(Q131="MG",CHOOSE(RANDBETWEEN(1,5),"Belo Horizonte","Uberlândia","Contagem","Juiz de Fora","Betim"),
IF(Q131="ES",CHOOSE(RANDBETWEEN(1,5),"Vitória","Vila Velha","Serra","Cariacica","Linhares"),
IF(Q131="PR",CHOOSE(RANDBETWEEN(1,5),"Curitiba","Londrina","Maringá","Ponta Grossa","Cascavel"),
IF(Q131="SC",CHOOSE(RANDBETWEEN(1,5),"Florianópolis","Joinville","Blumenau","Itajaí","Chapecó"),
IF(Q131="RS",CHOOSE(RANDBETWEEN(1,5),"Porto Alegre","Caxias do Sul","Pelotas","Canoas","Santa Maria"),
IF(Q131="BA",CHOOSE(RANDBETWEEN(1,5),"Salvador","Feira de Santana","Vitória da Conquista","Camaçari","Ilhéus"),
IF(Q131="PE",CHOOSE(RANDBETWEEN(1,5),"Recife","Olinda","Jaboatão","Caruaru","Petrolina"),
IF(Q131="CE",CHOOSE(RANDBETWEEN(1,5),"Fortaleza","Caucaia","Juazeiro do Norte","Sobral","Maracanaú"),
IF(Q131="MT",CHOOSE(RANDBETWEEN(1,5),"Cuiabá","Várzea Grande","Rondonópolis","Sinop","Tangará da Serra"),
IF(Q131="DF",CHOOSE(RANDBETWEEN(1,5),"Brasília","Ceilândia","Taguatinga","Samambaia","Planaltina"),
IF(Q131="AM",CHOOSE(RANDBETWEEN(1,5),"Manaus","Parintins","Itacoatiara","Manacapuru","Coari"),
IF(Q131="PA",CHOOSE(RANDBETWEEN(1,5),"Belém","Ananindeua","Santarém","Marabá","Castanhal"),
IF(Q131="GO",CHOOSE(RANDBETWEEN(1,5),"Goiânia","Aparecida de Goiânia","Anápolis","Rio Verde","Luziânia"),
"")))))))))))))))</f>
        <v>Duque de Caxias</v>
      </c>
      <c r="S131" s="8">
        <f t="shared" ref="S131:S194" ca="1" si="76">RANDBETWEEN(1,10)</f>
        <v>1</v>
      </c>
      <c r="T131" s="10">
        <f t="shared" ref="T131:T194" ca="1" si="77">RANDBETWEEN(60000,250000)</f>
        <v>183792</v>
      </c>
      <c r="U131" s="10">
        <f t="shared" ref="U131:U194" ca="1" si="78">T131*(RANDBETWEEN(70,85)/100)</f>
        <v>130492.31999999999</v>
      </c>
      <c r="V131" s="10">
        <f t="shared" ref="V131:V194" ca="1" si="79">S131*T131</f>
        <v>183792</v>
      </c>
      <c r="W131" s="10">
        <f t="shared" ref="W131:W194" ca="1" si="80">S131*U131</f>
        <v>130492.31999999999</v>
      </c>
      <c r="X131" s="10">
        <f t="shared" ref="X131:X194" ca="1" si="81">V131-W131</f>
        <v>53299.680000000008</v>
      </c>
      <c r="Y131" s="12">
        <f t="shared" ref="Y131:Y194" ca="1" si="82">X131/V131</f>
        <v>0.29000000000000004</v>
      </c>
      <c r="Z131" s="2" t="str">
        <f t="shared" ref="Z131:Z194" ca="1" si="83">CHOOSE(RANDBETWEEN(1,3),
"Concluída","Cancelada","Em negociação")</f>
        <v>Em negociação</v>
      </c>
      <c r="AA131" s="8">
        <f t="shared" ref="AA131:AA194" ca="1" si="84">RANDBETWEEN(1,30)</f>
        <v>15</v>
      </c>
      <c r="AB131" s="2">
        <f t="shared" ref="AB131:AB194" ca="1" si="85">IF(M131="Popular",RANDBETWEEN(10,30),
IF(M131="SUV",RANDBETWEEN(5,20),
IF(M131="Luxo",RANDBETWEEN(0,10),
RANDBETWEEN(2,15))))</f>
        <v>9</v>
      </c>
      <c r="AC131" s="2">
        <f t="shared" ref="AC131:AC194" ca="1" si="86">IF(M131="Popular",10,
IF(M131="SUV",7,
IF(M131="Luxo",3,5)))</f>
        <v>7</v>
      </c>
    </row>
    <row r="132" spans="1:29" x14ac:dyDescent="0.25">
      <c r="A132" s="14" t="str">
        <f t="shared" si="58"/>
        <v>VND-00132</v>
      </c>
      <c r="B132" s="5">
        <f t="shared" ca="1" si="59"/>
        <v>45157</v>
      </c>
      <c r="C132" s="2">
        <f t="shared" ca="1" si="60"/>
        <v>2023</v>
      </c>
      <c r="D132" s="2" t="str">
        <f t="shared" ca="1" si="61"/>
        <v>agosto</v>
      </c>
      <c r="E132" s="2" t="str">
        <f t="shared" ca="1" si="62"/>
        <v>2023/08</v>
      </c>
      <c r="F132" s="14" t="str">
        <f t="shared" ca="1" si="63"/>
        <v>CLI-9219</v>
      </c>
      <c r="G132" s="2" t="str">
        <f t="shared" ca="1" si="64"/>
        <v>Fernanda</v>
      </c>
      <c r="H132" s="2" t="str">
        <f t="shared" ca="1" si="65"/>
        <v>Novo</v>
      </c>
      <c r="I132" s="2" t="str">
        <f t="shared" ca="1" si="66"/>
        <v>Fernanda</v>
      </c>
      <c r="J132" s="14" t="str">
        <f t="shared" ca="1" si="67"/>
        <v>VCL-6413</v>
      </c>
      <c r="K132" s="2" t="str">
        <f t="shared" ca="1" si="68"/>
        <v>Corolla</v>
      </c>
      <c r="L132" s="2" t="str">
        <f t="shared" ca="1" si="69"/>
        <v>Toyota</v>
      </c>
      <c r="M132" s="2" t="str">
        <f t="shared" ca="1" si="70"/>
        <v>SUV</v>
      </c>
      <c r="N132" s="2">
        <f t="shared" ca="1" si="71"/>
        <v>2015</v>
      </c>
      <c r="O132" s="2" t="str">
        <f t="shared" ca="1" si="72"/>
        <v>Online</v>
      </c>
      <c r="P132" s="2" t="str">
        <f t="shared" ca="1" si="73"/>
        <v>Nordeste</v>
      </c>
      <c r="Q132" s="2" t="str">
        <f t="shared" ca="1" si="74"/>
        <v>BA</v>
      </c>
      <c r="R132" s="2" t="str">
        <f t="shared" ca="1" si="75"/>
        <v>Ilhéus</v>
      </c>
      <c r="S132" s="8">
        <f t="shared" ca="1" si="76"/>
        <v>4</v>
      </c>
      <c r="T132" s="10">
        <f t="shared" ca="1" si="77"/>
        <v>130525</v>
      </c>
      <c r="U132" s="10">
        <f t="shared" ca="1" si="78"/>
        <v>91367.5</v>
      </c>
      <c r="V132" s="10">
        <f t="shared" ca="1" si="79"/>
        <v>522100</v>
      </c>
      <c r="W132" s="10">
        <f t="shared" ca="1" si="80"/>
        <v>365470</v>
      </c>
      <c r="X132" s="10">
        <f t="shared" ca="1" si="81"/>
        <v>156630</v>
      </c>
      <c r="Y132" s="12">
        <f t="shared" ca="1" si="82"/>
        <v>0.3</v>
      </c>
      <c r="Z132" s="2" t="str">
        <f t="shared" ca="1" si="83"/>
        <v>Concluída</v>
      </c>
      <c r="AA132" s="8">
        <f t="shared" ca="1" si="84"/>
        <v>14</v>
      </c>
      <c r="AB132" s="2">
        <f t="shared" ca="1" si="85"/>
        <v>9</v>
      </c>
      <c r="AC132" s="2">
        <f t="shared" ca="1" si="86"/>
        <v>7</v>
      </c>
    </row>
    <row r="133" spans="1:29" x14ac:dyDescent="0.25">
      <c r="A133" s="14" t="str">
        <f t="shared" si="58"/>
        <v>VND-00133</v>
      </c>
      <c r="B133" s="5">
        <f t="shared" ca="1" si="59"/>
        <v>45243</v>
      </c>
      <c r="C133" s="2">
        <f t="shared" ca="1" si="60"/>
        <v>2023</v>
      </c>
      <c r="D133" s="2" t="str">
        <f t="shared" ca="1" si="61"/>
        <v>novembro</v>
      </c>
      <c r="E133" s="2" t="str">
        <f t="shared" ca="1" si="62"/>
        <v>2023/11</v>
      </c>
      <c r="F133" s="14" t="str">
        <f t="shared" ca="1" si="63"/>
        <v>CLI-2822</v>
      </c>
      <c r="G133" s="2" t="str">
        <f t="shared" ca="1" si="64"/>
        <v>Ana</v>
      </c>
      <c r="H133" s="2" t="str">
        <f t="shared" ca="1" si="65"/>
        <v>Novo</v>
      </c>
      <c r="I133" s="2" t="str">
        <f t="shared" ca="1" si="66"/>
        <v>Rafael</v>
      </c>
      <c r="J133" s="14" t="str">
        <f t="shared" ca="1" si="67"/>
        <v>VCL-7248</v>
      </c>
      <c r="K133" s="2" t="str">
        <f t="shared" ca="1" si="68"/>
        <v>BMW X1</v>
      </c>
      <c r="L133" s="2" t="str">
        <f t="shared" ca="1" si="69"/>
        <v>BMW</v>
      </c>
      <c r="M133" s="2" t="str">
        <f t="shared" ca="1" si="70"/>
        <v>Luxo</v>
      </c>
      <c r="N133" s="2">
        <f t="shared" ca="1" si="71"/>
        <v>2022</v>
      </c>
      <c r="O133" s="2" t="str">
        <f t="shared" ca="1" si="72"/>
        <v>Loja</v>
      </c>
      <c r="P133" s="2" t="str">
        <f t="shared" ca="1" si="73"/>
        <v>Sul</v>
      </c>
      <c r="Q133" s="2" t="str">
        <f t="shared" ca="1" si="74"/>
        <v>PR</v>
      </c>
      <c r="R133" s="2" t="str">
        <f t="shared" ca="1" si="75"/>
        <v>Ponta Grossa</v>
      </c>
      <c r="S133" s="8">
        <f t="shared" ca="1" si="76"/>
        <v>8</v>
      </c>
      <c r="T133" s="10">
        <f t="shared" ca="1" si="77"/>
        <v>170074</v>
      </c>
      <c r="U133" s="10">
        <f t="shared" ca="1" si="78"/>
        <v>141161.41999999998</v>
      </c>
      <c r="V133" s="10">
        <f t="shared" ca="1" si="79"/>
        <v>1360592</v>
      </c>
      <c r="W133" s="10">
        <f t="shared" ca="1" si="80"/>
        <v>1129291.3599999999</v>
      </c>
      <c r="X133" s="10">
        <f t="shared" ca="1" si="81"/>
        <v>231300.64000000013</v>
      </c>
      <c r="Y133" s="12">
        <f t="shared" ca="1" si="82"/>
        <v>0.1700000000000001</v>
      </c>
      <c r="Z133" s="2" t="str">
        <f t="shared" ca="1" si="83"/>
        <v>Concluída</v>
      </c>
      <c r="AA133" s="8">
        <f t="shared" ca="1" si="84"/>
        <v>21</v>
      </c>
      <c r="AB133" s="2">
        <f t="shared" ca="1" si="85"/>
        <v>6</v>
      </c>
      <c r="AC133" s="2">
        <f t="shared" ca="1" si="86"/>
        <v>3</v>
      </c>
    </row>
    <row r="134" spans="1:29" x14ac:dyDescent="0.25">
      <c r="A134" s="14" t="str">
        <f t="shared" si="58"/>
        <v>VND-00134</v>
      </c>
      <c r="B134" s="5">
        <f t="shared" ca="1" si="59"/>
        <v>45361</v>
      </c>
      <c r="C134" s="2">
        <f t="shared" ca="1" si="60"/>
        <v>2024</v>
      </c>
      <c r="D134" s="2" t="str">
        <f t="shared" ca="1" si="61"/>
        <v>março</v>
      </c>
      <c r="E134" s="2" t="str">
        <f t="shared" ca="1" si="62"/>
        <v>2024/03</v>
      </c>
      <c r="F134" s="14" t="str">
        <f t="shared" ca="1" si="63"/>
        <v>CLI-4270</v>
      </c>
      <c r="G134" s="2" t="str">
        <f t="shared" ca="1" si="64"/>
        <v>Carlos</v>
      </c>
      <c r="H134" s="2" t="str">
        <f t="shared" ca="1" si="65"/>
        <v>Novo</v>
      </c>
      <c r="I134" s="2" t="str">
        <f t="shared" ca="1" si="66"/>
        <v>Juliana</v>
      </c>
      <c r="J134" s="14" t="str">
        <f t="shared" ca="1" si="67"/>
        <v>VCL-3923</v>
      </c>
      <c r="K134" s="2" t="str">
        <f t="shared" ca="1" si="68"/>
        <v>Compass</v>
      </c>
      <c r="L134" s="2" t="str">
        <f t="shared" ca="1" si="69"/>
        <v>Jeep</v>
      </c>
      <c r="M134" s="2" t="str">
        <f t="shared" ca="1" si="70"/>
        <v>SUV</v>
      </c>
      <c r="N134" s="2">
        <f t="shared" ca="1" si="71"/>
        <v>2021</v>
      </c>
      <c r="O134" s="2" t="str">
        <f t="shared" ca="1" si="72"/>
        <v>Loja</v>
      </c>
      <c r="P134" s="2" t="str">
        <f t="shared" ca="1" si="73"/>
        <v>Sul</v>
      </c>
      <c r="Q134" s="2" t="str">
        <f t="shared" ca="1" si="74"/>
        <v>SC</v>
      </c>
      <c r="R134" s="2" t="str">
        <f t="shared" ca="1" si="75"/>
        <v>Florianópolis</v>
      </c>
      <c r="S134" s="8">
        <f t="shared" ca="1" si="76"/>
        <v>4</v>
      </c>
      <c r="T134" s="10">
        <f t="shared" ca="1" si="77"/>
        <v>155935</v>
      </c>
      <c r="U134" s="10">
        <f t="shared" ca="1" si="78"/>
        <v>124748</v>
      </c>
      <c r="V134" s="10">
        <f t="shared" ca="1" si="79"/>
        <v>623740</v>
      </c>
      <c r="W134" s="10">
        <f t="shared" ca="1" si="80"/>
        <v>498992</v>
      </c>
      <c r="X134" s="10">
        <f t="shared" ca="1" si="81"/>
        <v>124748</v>
      </c>
      <c r="Y134" s="12">
        <f t="shared" ca="1" si="82"/>
        <v>0.2</v>
      </c>
      <c r="Z134" s="2" t="str">
        <f t="shared" ca="1" si="83"/>
        <v>Concluída</v>
      </c>
      <c r="AA134" s="8">
        <f t="shared" ca="1" si="84"/>
        <v>14</v>
      </c>
      <c r="AB134" s="2">
        <f t="shared" ca="1" si="85"/>
        <v>15</v>
      </c>
      <c r="AC134" s="2">
        <f t="shared" ca="1" si="86"/>
        <v>7</v>
      </c>
    </row>
    <row r="135" spans="1:29" x14ac:dyDescent="0.25">
      <c r="A135" s="14" t="str">
        <f t="shared" si="58"/>
        <v>VND-00135</v>
      </c>
      <c r="B135" s="5">
        <f t="shared" ca="1" si="59"/>
        <v>45582</v>
      </c>
      <c r="C135" s="2">
        <f t="shared" ca="1" si="60"/>
        <v>2024</v>
      </c>
      <c r="D135" s="2" t="str">
        <f t="shared" ca="1" si="61"/>
        <v>outubro</v>
      </c>
      <c r="E135" s="2" t="str">
        <f t="shared" ca="1" si="62"/>
        <v>2024/10</v>
      </c>
      <c r="F135" s="14" t="str">
        <f t="shared" ca="1" si="63"/>
        <v>CLI-4202</v>
      </c>
      <c r="G135" s="2" t="str">
        <f t="shared" ca="1" si="64"/>
        <v>Fernanda</v>
      </c>
      <c r="H135" s="2" t="str">
        <f t="shared" ca="1" si="65"/>
        <v>Novo</v>
      </c>
      <c r="I135" s="2" t="str">
        <f t="shared" ca="1" si="66"/>
        <v>Felipe</v>
      </c>
      <c r="J135" s="14" t="str">
        <f t="shared" ca="1" si="67"/>
        <v>VCL-2449</v>
      </c>
      <c r="K135" s="2" t="str">
        <f t="shared" ca="1" si="68"/>
        <v>Onix</v>
      </c>
      <c r="L135" s="2" t="str">
        <f t="shared" ca="1" si="69"/>
        <v>Chevrolet</v>
      </c>
      <c r="M135" s="2" t="str">
        <f t="shared" ca="1" si="70"/>
        <v>Popular</v>
      </c>
      <c r="N135" s="2">
        <f t="shared" ca="1" si="71"/>
        <v>2021</v>
      </c>
      <c r="O135" s="2" t="str">
        <f t="shared" ca="1" si="72"/>
        <v>Loja</v>
      </c>
      <c r="P135" s="2" t="str">
        <f t="shared" ca="1" si="73"/>
        <v>Norte</v>
      </c>
      <c r="Q135" s="2" t="str">
        <f t="shared" ca="1" si="74"/>
        <v>AM</v>
      </c>
      <c r="R135" s="2" t="str">
        <f t="shared" ca="1" si="75"/>
        <v>Manaus</v>
      </c>
      <c r="S135" s="8">
        <f t="shared" ca="1" si="76"/>
        <v>3</v>
      </c>
      <c r="T135" s="10">
        <f t="shared" ca="1" si="77"/>
        <v>104032</v>
      </c>
      <c r="U135" s="10">
        <f t="shared" ca="1" si="78"/>
        <v>74903.039999999994</v>
      </c>
      <c r="V135" s="10">
        <f t="shared" ca="1" si="79"/>
        <v>312096</v>
      </c>
      <c r="W135" s="10">
        <f t="shared" ca="1" si="80"/>
        <v>224709.12</v>
      </c>
      <c r="X135" s="10">
        <f t="shared" ca="1" si="81"/>
        <v>87386.880000000005</v>
      </c>
      <c r="Y135" s="12">
        <f t="shared" ca="1" si="82"/>
        <v>0.28000000000000003</v>
      </c>
      <c r="Z135" s="2" t="str">
        <f t="shared" ca="1" si="83"/>
        <v>Cancelada</v>
      </c>
      <c r="AA135" s="8">
        <f t="shared" ca="1" si="84"/>
        <v>7</v>
      </c>
      <c r="AB135" s="2">
        <f t="shared" ca="1" si="85"/>
        <v>25</v>
      </c>
      <c r="AC135" s="2">
        <f t="shared" ca="1" si="86"/>
        <v>10</v>
      </c>
    </row>
    <row r="136" spans="1:29" x14ac:dyDescent="0.25">
      <c r="A136" s="14" t="str">
        <f t="shared" si="58"/>
        <v>VND-00136</v>
      </c>
      <c r="B136" s="5">
        <f t="shared" ca="1" si="59"/>
        <v>45142</v>
      </c>
      <c r="C136" s="2">
        <f t="shared" ca="1" si="60"/>
        <v>2023</v>
      </c>
      <c r="D136" s="2" t="str">
        <f t="shared" ca="1" si="61"/>
        <v>agosto</v>
      </c>
      <c r="E136" s="2" t="str">
        <f t="shared" ca="1" si="62"/>
        <v>2023/08</v>
      </c>
      <c r="F136" s="14" t="str">
        <f t="shared" ca="1" si="63"/>
        <v>CLI-5052</v>
      </c>
      <c r="G136" s="2" t="str">
        <f t="shared" ca="1" si="64"/>
        <v>Juliana</v>
      </c>
      <c r="H136" s="2" t="str">
        <f t="shared" ca="1" si="65"/>
        <v>Recorrente</v>
      </c>
      <c r="I136" s="2" t="str">
        <f t="shared" ca="1" si="66"/>
        <v>Bruno</v>
      </c>
      <c r="J136" s="14" t="str">
        <f t="shared" ca="1" si="67"/>
        <v>VCL-3572</v>
      </c>
      <c r="K136" s="2" t="str">
        <f t="shared" ca="1" si="68"/>
        <v>BMW X1</v>
      </c>
      <c r="L136" s="2" t="str">
        <f t="shared" ca="1" si="69"/>
        <v>BMW</v>
      </c>
      <c r="M136" s="2" t="str">
        <f t="shared" ca="1" si="70"/>
        <v>Luxo</v>
      </c>
      <c r="N136" s="2">
        <f t="shared" ca="1" si="71"/>
        <v>2023</v>
      </c>
      <c r="O136" s="2" t="str">
        <f t="shared" ca="1" si="72"/>
        <v>Loja</v>
      </c>
      <c r="P136" s="2" t="str">
        <f t="shared" ca="1" si="73"/>
        <v>Sul</v>
      </c>
      <c r="Q136" s="2" t="str">
        <f t="shared" ca="1" si="74"/>
        <v>RS</v>
      </c>
      <c r="R136" s="2" t="str">
        <f t="shared" ca="1" si="75"/>
        <v>Porto Alegre</v>
      </c>
      <c r="S136" s="8">
        <f t="shared" ca="1" si="76"/>
        <v>3</v>
      </c>
      <c r="T136" s="10">
        <f t="shared" ca="1" si="77"/>
        <v>224811</v>
      </c>
      <c r="U136" s="10">
        <f t="shared" ca="1" si="78"/>
        <v>182096.91</v>
      </c>
      <c r="V136" s="10">
        <f t="shared" ca="1" si="79"/>
        <v>674433</v>
      </c>
      <c r="W136" s="10">
        <f t="shared" ca="1" si="80"/>
        <v>546290.73</v>
      </c>
      <c r="X136" s="10">
        <f t="shared" ca="1" si="81"/>
        <v>128142.27000000002</v>
      </c>
      <c r="Y136" s="12">
        <f t="shared" ca="1" si="82"/>
        <v>0.19000000000000003</v>
      </c>
      <c r="Z136" s="2" t="str">
        <f t="shared" ca="1" si="83"/>
        <v>Cancelada</v>
      </c>
      <c r="AA136" s="8">
        <f t="shared" ca="1" si="84"/>
        <v>20</v>
      </c>
      <c r="AB136" s="2">
        <f t="shared" ca="1" si="85"/>
        <v>0</v>
      </c>
      <c r="AC136" s="2">
        <f t="shared" ca="1" si="86"/>
        <v>3</v>
      </c>
    </row>
    <row r="137" spans="1:29" x14ac:dyDescent="0.25">
      <c r="A137" s="14" t="str">
        <f t="shared" si="58"/>
        <v>VND-00137</v>
      </c>
      <c r="B137" s="5">
        <f t="shared" ca="1" si="59"/>
        <v>45378</v>
      </c>
      <c r="C137" s="2">
        <f t="shared" ca="1" si="60"/>
        <v>2024</v>
      </c>
      <c r="D137" s="2" t="str">
        <f t="shared" ca="1" si="61"/>
        <v>março</v>
      </c>
      <c r="E137" s="2" t="str">
        <f t="shared" ca="1" si="62"/>
        <v>2024/03</v>
      </c>
      <c r="F137" s="14" t="str">
        <f t="shared" ca="1" si="63"/>
        <v>CLI-5144</v>
      </c>
      <c r="G137" s="2" t="str">
        <f t="shared" ca="1" si="64"/>
        <v>João</v>
      </c>
      <c r="H137" s="2" t="str">
        <f t="shared" ca="1" si="65"/>
        <v>Novo</v>
      </c>
      <c r="I137" s="2" t="str">
        <f t="shared" ca="1" si="66"/>
        <v>Ricardo</v>
      </c>
      <c r="J137" s="14" t="str">
        <f t="shared" ca="1" si="67"/>
        <v>VCL-4790</v>
      </c>
      <c r="K137" s="2" t="str">
        <f t="shared" ca="1" si="68"/>
        <v>Civic</v>
      </c>
      <c r="L137" s="2" t="str">
        <f t="shared" ca="1" si="69"/>
        <v>Honda</v>
      </c>
      <c r="M137" s="2" t="str">
        <f t="shared" ca="1" si="70"/>
        <v>SUV</v>
      </c>
      <c r="N137" s="2">
        <f t="shared" ca="1" si="71"/>
        <v>2020</v>
      </c>
      <c r="O137" s="2" t="str">
        <f t="shared" ca="1" si="72"/>
        <v>Loja</v>
      </c>
      <c r="P137" s="2" t="str">
        <f t="shared" ca="1" si="73"/>
        <v>Norte</v>
      </c>
      <c r="Q137" s="2" t="str">
        <f t="shared" ca="1" si="74"/>
        <v>PA</v>
      </c>
      <c r="R137" s="2" t="str">
        <f t="shared" ca="1" si="75"/>
        <v>Marabá</v>
      </c>
      <c r="S137" s="8">
        <f t="shared" ca="1" si="76"/>
        <v>10</v>
      </c>
      <c r="T137" s="10">
        <f t="shared" ca="1" si="77"/>
        <v>71327</v>
      </c>
      <c r="U137" s="10">
        <f t="shared" ca="1" si="78"/>
        <v>60627.95</v>
      </c>
      <c r="V137" s="10">
        <f t="shared" ca="1" si="79"/>
        <v>713270</v>
      </c>
      <c r="W137" s="10">
        <f t="shared" ca="1" si="80"/>
        <v>606279.5</v>
      </c>
      <c r="X137" s="10">
        <f t="shared" ca="1" si="81"/>
        <v>106990.5</v>
      </c>
      <c r="Y137" s="12">
        <f t="shared" ca="1" si="82"/>
        <v>0.15</v>
      </c>
      <c r="Z137" s="2" t="str">
        <f t="shared" ca="1" si="83"/>
        <v>Em negociação</v>
      </c>
      <c r="AA137" s="8">
        <f t="shared" ca="1" si="84"/>
        <v>19</v>
      </c>
      <c r="AB137" s="2">
        <f t="shared" ca="1" si="85"/>
        <v>19</v>
      </c>
      <c r="AC137" s="2">
        <f t="shared" ca="1" si="86"/>
        <v>7</v>
      </c>
    </row>
    <row r="138" spans="1:29" x14ac:dyDescent="0.25">
      <c r="A138" s="14" t="str">
        <f t="shared" si="58"/>
        <v>VND-00138</v>
      </c>
      <c r="B138" s="5">
        <f t="shared" ca="1" si="59"/>
        <v>45855</v>
      </c>
      <c r="C138" s="2">
        <f t="shared" ca="1" si="60"/>
        <v>2025</v>
      </c>
      <c r="D138" s="2" t="str">
        <f t="shared" ca="1" si="61"/>
        <v>julho</v>
      </c>
      <c r="E138" s="2" t="str">
        <f t="shared" ca="1" si="62"/>
        <v>2025/07</v>
      </c>
      <c r="F138" s="14" t="str">
        <f t="shared" ca="1" si="63"/>
        <v>CLI-6519</v>
      </c>
      <c r="G138" s="2" t="str">
        <f t="shared" ca="1" si="64"/>
        <v>Ana</v>
      </c>
      <c r="H138" s="2" t="str">
        <f t="shared" ca="1" si="65"/>
        <v>Novo</v>
      </c>
      <c r="I138" s="2" t="str">
        <f t="shared" ca="1" si="66"/>
        <v>Felipe</v>
      </c>
      <c r="J138" s="14" t="str">
        <f t="shared" ca="1" si="67"/>
        <v>VCL-5602</v>
      </c>
      <c r="K138" s="2" t="str">
        <f t="shared" ca="1" si="68"/>
        <v>Corolla</v>
      </c>
      <c r="L138" s="2" t="str">
        <f t="shared" ca="1" si="69"/>
        <v>Toyota</v>
      </c>
      <c r="M138" s="2" t="str">
        <f t="shared" ca="1" si="70"/>
        <v>SUV</v>
      </c>
      <c r="N138" s="2">
        <f t="shared" ca="1" si="71"/>
        <v>2020</v>
      </c>
      <c r="O138" s="2" t="str">
        <f t="shared" ca="1" si="72"/>
        <v>Loja</v>
      </c>
      <c r="P138" s="2" t="str">
        <f t="shared" ca="1" si="73"/>
        <v>Norte</v>
      </c>
      <c r="Q138" s="2" t="str">
        <f t="shared" ca="1" si="74"/>
        <v>PA</v>
      </c>
      <c r="R138" s="2" t="str">
        <f t="shared" ca="1" si="75"/>
        <v>Ananindeua</v>
      </c>
      <c r="S138" s="8">
        <f t="shared" ca="1" si="76"/>
        <v>2</v>
      </c>
      <c r="T138" s="10">
        <f t="shared" ca="1" si="77"/>
        <v>84631</v>
      </c>
      <c r="U138" s="10">
        <f t="shared" ca="1" si="78"/>
        <v>67704.800000000003</v>
      </c>
      <c r="V138" s="10">
        <f t="shared" ca="1" si="79"/>
        <v>169262</v>
      </c>
      <c r="W138" s="10">
        <f t="shared" ca="1" si="80"/>
        <v>135409.60000000001</v>
      </c>
      <c r="X138" s="10">
        <f t="shared" ca="1" si="81"/>
        <v>33852.399999999994</v>
      </c>
      <c r="Y138" s="12">
        <f t="shared" ca="1" si="82"/>
        <v>0.19999999999999996</v>
      </c>
      <c r="Z138" s="2" t="str">
        <f t="shared" ca="1" si="83"/>
        <v>Concluída</v>
      </c>
      <c r="AA138" s="8">
        <f t="shared" ca="1" si="84"/>
        <v>10</v>
      </c>
      <c r="AB138" s="2">
        <f t="shared" ca="1" si="85"/>
        <v>20</v>
      </c>
      <c r="AC138" s="2">
        <f t="shared" ca="1" si="86"/>
        <v>7</v>
      </c>
    </row>
    <row r="139" spans="1:29" x14ac:dyDescent="0.25">
      <c r="A139" s="14" t="str">
        <f t="shared" si="58"/>
        <v>VND-00139</v>
      </c>
      <c r="B139" s="5">
        <f t="shared" ca="1" si="59"/>
        <v>45584</v>
      </c>
      <c r="C139" s="2">
        <f t="shared" ca="1" si="60"/>
        <v>2024</v>
      </c>
      <c r="D139" s="2" t="str">
        <f t="shared" ca="1" si="61"/>
        <v>outubro</v>
      </c>
      <c r="E139" s="2" t="str">
        <f t="shared" ca="1" si="62"/>
        <v>2024/10</v>
      </c>
      <c r="F139" s="14" t="str">
        <f t="shared" ca="1" si="63"/>
        <v>CLI-1136</v>
      </c>
      <c r="G139" s="2" t="str">
        <f t="shared" ca="1" si="64"/>
        <v>Rafael</v>
      </c>
      <c r="H139" s="2" t="str">
        <f t="shared" ca="1" si="65"/>
        <v>Novo</v>
      </c>
      <c r="I139" s="2" t="str">
        <f t="shared" ca="1" si="66"/>
        <v>Amanda</v>
      </c>
      <c r="J139" s="14" t="str">
        <f t="shared" ca="1" si="67"/>
        <v>VCL-1072</v>
      </c>
      <c r="K139" s="2" t="str">
        <f t="shared" ca="1" si="68"/>
        <v>Onix</v>
      </c>
      <c r="L139" s="2" t="str">
        <f t="shared" ca="1" si="69"/>
        <v>Chevrolet</v>
      </c>
      <c r="M139" s="2" t="str">
        <f t="shared" ca="1" si="70"/>
        <v>Popular</v>
      </c>
      <c r="N139" s="2">
        <f t="shared" ca="1" si="71"/>
        <v>2023</v>
      </c>
      <c r="O139" s="2" t="str">
        <f t="shared" ca="1" si="72"/>
        <v>Loja</v>
      </c>
      <c r="P139" s="2" t="str">
        <f t="shared" ca="1" si="73"/>
        <v>Norte</v>
      </c>
      <c r="Q139" s="2" t="str">
        <f t="shared" ca="1" si="74"/>
        <v>AM</v>
      </c>
      <c r="R139" s="2" t="str">
        <f t="shared" ca="1" si="75"/>
        <v>Parintins</v>
      </c>
      <c r="S139" s="8">
        <f t="shared" ca="1" si="76"/>
        <v>4</v>
      </c>
      <c r="T139" s="10">
        <f t="shared" ca="1" si="77"/>
        <v>169753</v>
      </c>
      <c r="U139" s="10">
        <f t="shared" ca="1" si="78"/>
        <v>123919.69</v>
      </c>
      <c r="V139" s="10">
        <f t="shared" ca="1" si="79"/>
        <v>679012</v>
      </c>
      <c r="W139" s="10">
        <f t="shared" ca="1" si="80"/>
        <v>495678.76</v>
      </c>
      <c r="X139" s="10">
        <f t="shared" ca="1" si="81"/>
        <v>183333.24</v>
      </c>
      <c r="Y139" s="12">
        <f t="shared" ca="1" si="82"/>
        <v>0.26999999999999996</v>
      </c>
      <c r="Z139" s="2" t="str">
        <f t="shared" ca="1" si="83"/>
        <v>Cancelada</v>
      </c>
      <c r="AA139" s="8">
        <f t="shared" ca="1" si="84"/>
        <v>17</v>
      </c>
      <c r="AB139" s="2">
        <f t="shared" ca="1" si="85"/>
        <v>22</v>
      </c>
      <c r="AC139" s="2">
        <f t="shared" ca="1" si="86"/>
        <v>10</v>
      </c>
    </row>
    <row r="140" spans="1:29" x14ac:dyDescent="0.25">
      <c r="A140" s="14" t="str">
        <f t="shared" si="58"/>
        <v>VND-00140</v>
      </c>
      <c r="B140" s="5">
        <f t="shared" ca="1" si="59"/>
        <v>45152</v>
      </c>
      <c r="C140" s="2">
        <f t="shared" ca="1" si="60"/>
        <v>2023</v>
      </c>
      <c r="D140" s="2" t="str">
        <f t="shared" ca="1" si="61"/>
        <v>agosto</v>
      </c>
      <c r="E140" s="2" t="str">
        <f t="shared" ca="1" si="62"/>
        <v>2023/08</v>
      </c>
      <c r="F140" s="14" t="str">
        <f t="shared" ca="1" si="63"/>
        <v>CLI-3877</v>
      </c>
      <c r="G140" s="2" t="str">
        <f t="shared" ca="1" si="64"/>
        <v>João</v>
      </c>
      <c r="H140" s="2" t="str">
        <f t="shared" ca="1" si="65"/>
        <v>Novo</v>
      </c>
      <c r="I140" s="2" t="str">
        <f t="shared" ca="1" si="66"/>
        <v>Roberto</v>
      </c>
      <c r="J140" s="14" t="str">
        <f t="shared" ca="1" si="67"/>
        <v>VCL-5604</v>
      </c>
      <c r="K140" s="2" t="str">
        <f t="shared" ca="1" si="68"/>
        <v>Compass</v>
      </c>
      <c r="L140" s="2" t="str">
        <f t="shared" ca="1" si="69"/>
        <v>Jeep</v>
      </c>
      <c r="M140" s="2" t="str">
        <f t="shared" ca="1" si="70"/>
        <v>SUV</v>
      </c>
      <c r="N140" s="2">
        <f t="shared" ca="1" si="71"/>
        <v>2023</v>
      </c>
      <c r="O140" s="2" t="str">
        <f t="shared" ca="1" si="72"/>
        <v>Loja</v>
      </c>
      <c r="P140" s="2" t="str">
        <f t="shared" ca="1" si="73"/>
        <v>Nordeste</v>
      </c>
      <c r="Q140" s="2" t="str">
        <f t="shared" ca="1" si="74"/>
        <v>CE</v>
      </c>
      <c r="R140" s="2" t="str">
        <f t="shared" ca="1" si="75"/>
        <v>Maracanaú</v>
      </c>
      <c r="S140" s="8">
        <f t="shared" ca="1" si="76"/>
        <v>7</v>
      </c>
      <c r="T140" s="10">
        <f t="shared" ca="1" si="77"/>
        <v>93954</v>
      </c>
      <c r="U140" s="10">
        <f t="shared" ca="1" si="78"/>
        <v>78921.36</v>
      </c>
      <c r="V140" s="10">
        <f t="shared" ca="1" si="79"/>
        <v>657678</v>
      </c>
      <c r="W140" s="10">
        <f t="shared" ca="1" si="80"/>
        <v>552449.52</v>
      </c>
      <c r="X140" s="10">
        <f t="shared" ca="1" si="81"/>
        <v>105228.47999999998</v>
      </c>
      <c r="Y140" s="12">
        <f t="shared" ca="1" si="82"/>
        <v>0.15999999999999998</v>
      </c>
      <c r="Z140" s="2" t="str">
        <f t="shared" ca="1" si="83"/>
        <v>Concluída</v>
      </c>
      <c r="AA140" s="8">
        <f t="shared" ca="1" si="84"/>
        <v>3</v>
      </c>
      <c r="AB140" s="2">
        <f t="shared" ca="1" si="85"/>
        <v>6</v>
      </c>
      <c r="AC140" s="2">
        <f t="shared" ca="1" si="86"/>
        <v>7</v>
      </c>
    </row>
    <row r="141" spans="1:29" x14ac:dyDescent="0.25">
      <c r="A141" s="14" t="str">
        <f t="shared" si="58"/>
        <v>VND-00141</v>
      </c>
      <c r="B141" s="5">
        <f t="shared" ca="1" si="59"/>
        <v>45785</v>
      </c>
      <c r="C141" s="2">
        <f t="shared" ca="1" si="60"/>
        <v>2025</v>
      </c>
      <c r="D141" s="2" t="str">
        <f t="shared" ca="1" si="61"/>
        <v>maio</v>
      </c>
      <c r="E141" s="2" t="str">
        <f t="shared" ca="1" si="62"/>
        <v>2025/05</v>
      </c>
      <c r="F141" s="14" t="str">
        <f t="shared" ca="1" si="63"/>
        <v>CLI-9444</v>
      </c>
      <c r="G141" s="2" t="str">
        <f t="shared" ca="1" si="64"/>
        <v>Juliana</v>
      </c>
      <c r="H141" s="2" t="str">
        <f t="shared" ca="1" si="65"/>
        <v>Novo</v>
      </c>
      <c r="I141" s="2" t="str">
        <f t="shared" ca="1" si="66"/>
        <v>Ana</v>
      </c>
      <c r="J141" s="14" t="str">
        <f t="shared" ca="1" si="67"/>
        <v>VCL-2944</v>
      </c>
      <c r="K141" s="2" t="str">
        <f t="shared" ca="1" si="68"/>
        <v>BMW X1</v>
      </c>
      <c r="L141" s="2" t="str">
        <f t="shared" ca="1" si="69"/>
        <v>BMW</v>
      </c>
      <c r="M141" s="2" t="str">
        <f t="shared" ca="1" si="70"/>
        <v>Luxo</v>
      </c>
      <c r="N141" s="2">
        <f t="shared" ca="1" si="71"/>
        <v>2023</v>
      </c>
      <c r="O141" s="2" t="str">
        <f t="shared" ca="1" si="72"/>
        <v>Loja</v>
      </c>
      <c r="P141" s="2" t="str">
        <f t="shared" ca="1" si="73"/>
        <v>Sudeste</v>
      </c>
      <c r="Q141" s="2" t="str">
        <f t="shared" ca="1" si="74"/>
        <v>SP</v>
      </c>
      <c r="R141" s="2" t="str">
        <f t="shared" ca="1" si="75"/>
        <v>Sorocaba</v>
      </c>
      <c r="S141" s="8">
        <f t="shared" ca="1" si="76"/>
        <v>6</v>
      </c>
      <c r="T141" s="10">
        <f t="shared" ca="1" si="77"/>
        <v>73111</v>
      </c>
      <c r="U141" s="10">
        <f t="shared" ca="1" si="78"/>
        <v>53371.03</v>
      </c>
      <c r="V141" s="10">
        <f t="shared" ca="1" si="79"/>
        <v>438666</v>
      </c>
      <c r="W141" s="10">
        <f t="shared" ca="1" si="80"/>
        <v>320226.18</v>
      </c>
      <c r="X141" s="10">
        <f t="shared" ca="1" si="81"/>
        <v>118439.82</v>
      </c>
      <c r="Y141" s="12">
        <f t="shared" ca="1" si="82"/>
        <v>0.27</v>
      </c>
      <c r="Z141" s="2" t="str">
        <f t="shared" ca="1" si="83"/>
        <v>Em negociação</v>
      </c>
      <c r="AA141" s="8">
        <f t="shared" ca="1" si="84"/>
        <v>7</v>
      </c>
      <c r="AB141" s="2">
        <f t="shared" ca="1" si="85"/>
        <v>7</v>
      </c>
      <c r="AC141" s="2">
        <f t="shared" ca="1" si="86"/>
        <v>3</v>
      </c>
    </row>
    <row r="142" spans="1:29" x14ac:dyDescent="0.25">
      <c r="A142" s="14" t="str">
        <f t="shared" si="58"/>
        <v>VND-00142</v>
      </c>
      <c r="B142" s="5">
        <f t="shared" ca="1" si="59"/>
        <v>45483</v>
      </c>
      <c r="C142" s="2">
        <f t="shared" ca="1" si="60"/>
        <v>2024</v>
      </c>
      <c r="D142" s="2" t="str">
        <f t="shared" ca="1" si="61"/>
        <v>julho</v>
      </c>
      <c r="E142" s="2" t="str">
        <f t="shared" ca="1" si="62"/>
        <v>2024/07</v>
      </c>
      <c r="F142" s="14" t="str">
        <f t="shared" ca="1" si="63"/>
        <v>CLI-9497</v>
      </c>
      <c r="G142" s="2" t="str">
        <f t="shared" ca="1" si="64"/>
        <v>Ana</v>
      </c>
      <c r="H142" s="2" t="str">
        <f t="shared" ca="1" si="65"/>
        <v>Novo</v>
      </c>
      <c r="I142" s="2" t="str">
        <f t="shared" ca="1" si="66"/>
        <v>Vinicius</v>
      </c>
      <c r="J142" s="14" t="str">
        <f t="shared" ca="1" si="67"/>
        <v>VCL-7992</v>
      </c>
      <c r="K142" s="2" t="str">
        <f t="shared" ca="1" si="68"/>
        <v>Compass</v>
      </c>
      <c r="L142" s="2" t="str">
        <f t="shared" ca="1" si="69"/>
        <v>Jeep</v>
      </c>
      <c r="M142" s="2" t="str">
        <f t="shared" ca="1" si="70"/>
        <v>SUV</v>
      </c>
      <c r="N142" s="2">
        <f t="shared" ca="1" si="71"/>
        <v>2024</v>
      </c>
      <c r="O142" s="2" t="str">
        <f t="shared" ca="1" si="72"/>
        <v>Loja</v>
      </c>
      <c r="P142" s="2" t="str">
        <f t="shared" ca="1" si="73"/>
        <v>Centro-Oeste</v>
      </c>
      <c r="Q142" s="2" t="str">
        <f t="shared" ca="1" si="74"/>
        <v>DF</v>
      </c>
      <c r="R142" s="2" t="str">
        <f t="shared" ca="1" si="75"/>
        <v>Brasília</v>
      </c>
      <c r="S142" s="8">
        <f t="shared" ca="1" si="76"/>
        <v>3</v>
      </c>
      <c r="T142" s="10">
        <f t="shared" ca="1" si="77"/>
        <v>63678</v>
      </c>
      <c r="U142" s="10">
        <f t="shared" ca="1" si="78"/>
        <v>50305.62</v>
      </c>
      <c r="V142" s="10">
        <f t="shared" ca="1" si="79"/>
        <v>191034</v>
      </c>
      <c r="W142" s="10">
        <f t="shared" ca="1" si="80"/>
        <v>150916.86000000002</v>
      </c>
      <c r="X142" s="10">
        <f t="shared" ca="1" si="81"/>
        <v>40117.139999999985</v>
      </c>
      <c r="Y142" s="12">
        <f t="shared" ca="1" si="82"/>
        <v>0.20999999999999991</v>
      </c>
      <c r="Z142" s="2" t="str">
        <f t="shared" ca="1" si="83"/>
        <v>Cancelada</v>
      </c>
      <c r="AA142" s="8">
        <f t="shared" ca="1" si="84"/>
        <v>1</v>
      </c>
      <c r="AB142" s="2">
        <f t="shared" ca="1" si="85"/>
        <v>7</v>
      </c>
      <c r="AC142" s="2">
        <f t="shared" ca="1" si="86"/>
        <v>7</v>
      </c>
    </row>
    <row r="143" spans="1:29" x14ac:dyDescent="0.25">
      <c r="A143" s="14" t="str">
        <f t="shared" si="58"/>
        <v>VND-00143</v>
      </c>
      <c r="B143" s="5">
        <f t="shared" ca="1" si="59"/>
        <v>45727</v>
      </c>
      <c r="C143" s="2">
        <f t="shared" ca="1" si="60"/>
        <v>2025</v>
      </c>
      <c r="D143" s="2" t="str">
        <f t="shared" ca="1" si="61"/>
        <v>março</v>
      </c>
      <c r="E143" s="2" t="str">
        <f t="shared" ca="1" si="62"/>
        <v>2025/03</v>
      </c>
      <c r="F143" s="14" t="str">
        <f t="shared" ca="1" si="63"/>
        <v>CLI-6379</v>
      </c>
      <c r="G143" s="2" t="str">
        <f t="shared" ca="1" si="64"/>
        <v>Maria</v>
      </c>
      <c r="H143" s="2" t="str">
        <f t="shared" ca="1" si="65"/>
        <v>Novo</v>
      </c>
      <c r="I143" s="2" t="str">
        <f t="shared" ca="1" si="66"/>
        <v>Maria</v>
      </c>
      <c r="J143" s="14" t="str">
        <f t="shared" ca="1" si="67"/>
        <v>VCL-1157</v>
      </c>
      <c r="K143" s="2" t="str">
        <f t="shared" ca="1" si="68"/>
        <v>HB20</v>
      </c>
      <c r="L143" s="2" t="str">
        <f t="shared" ca="1" si="69"/>
        <v>Hyundai</v>
      </c>
      <c r="M143" s="2" t="str">
        <f t="shared" ca="1" si="70"/>
        <v>Popular</v>
      </c>
      <c r="N143" s="2">
        <f t="shared" ca="1" si="71"/>
        <v>2022</v>
      </c>
      <c r="O143" s="2" t="str">
        <f t="shared" ca="1" si="72"/>
        <v>Online</v>
      </c>
      <c r="P143" s="2" t="str">
        <f t="shared" ca="1" si="73"/>
        <v>Sudeste</v>
      </c>
      <c r="Q143" s="2" t="str">
        <f t="shared" ca="1" si="74"/>
        <v>SP</v>
      </c>
      <c r="R143" s="2" t="str">
        <f t="shared" ca="1" si="75"/>
        <v>Campinas</v>
      </c>
      <c r="S143" s="8">
        <f t="shared" ca="1" si="76"/>
        <v>6</v>
      </c>
      <c r="T143" s="10">
        <f t="shared" ca="1" si="77"/>
        <v>149570</v>
      </c>
      <c r="U143" s="10">
        <f t="shared" ca="1" si="78"/>
        <v>107690.4</v>
      </c>
      <c r="V143" s="10">
        <f t="shared" ca="1" si="79"/>
        <v>897420</v>
      </c>
      <c r="W143" s="10">
        <f t="shared" ca="1" si="80"/>
        <v>646142.39999999991</v>
      </c>
      <c r="X143" s="10">
        <f t="shared" ca="1" si="81"/>
        <v>251277.60000000009</v>
      </c>
      <c r="Y143" s="12">
        <f t="shared" ca="1" si="82"/>
        <v>0.28000000000000008</v>
      </c>
      <c r="Z143" s="2" t="str">
        <f t="shared" ca="1" si="83"/>
        <v>Cancelada</v>
      </c>
      <c r="AA143" s="8">
        <f t="shared" ca="1" si="84"/>
        <v>11</v>
      </c>
      <c r="AB143" s="2">
        <f t="shared" ca="1" si="85"/>
        <v>15</v>
      </c>
      <c r="AC143" s="2">
        <f t="shared" ca="1" si="86"/>
        <v>10</v>
      </c>
    </row>
    <row r="144" spans="1:29" x14ac:dyDescent="0.25">
      <c r="A144" s="14" t="str">
        <f t="shared" si="58"/>
        <v>VND-00144</v>
      </c>
      <c r="B144" s="5">
        <f t="shared" ca="1" si="59"/>
        <v>44949</v>
      </c>
      <c r="C144" s="2">
        <f t="shared" ca="1" si="60"/>
        <v>2023</v>
      </c>
      <c r="D144" s="2" t="str">
        <f t="shared" ca="1" si="61"/>
        <v>janeiro</v>
      </c>
      <c r="E144" s="2" t="str">
        <f t="shared" ca="1" si="62"/>
        <v>2023/01</v>
      </c>
      <c r="F144" s="14" t="str">
        <f t="shared" ca="1" si="63"/>
        <v>CLI-6089</v>
      </c>
      <c r="G144" s="2" t="str">
        <f t="shared" ca="1" si="64"/>
        <v>João</v>
      </c>
      <c r="H144" s="2" t="str">
        <f t="shared" ca="1" si="65"/>
        <v>Novo</v>
      </c>
      <c r="I144" s="2" t="str">
        <f t="shared" ca="1" si="66"/>
        <v>Carla</v>
      </c>
      <c r="J144" s="14" t="str">
        <f t="shared" ca="1" si="67"/>
        <v>VCL-7229</v>
      </c>
      <c r="K144" s="2" t="str">
        <f t="shared" ca="1" si="68"/>
        <v>Compass</v>
      </c>
      <c r="L144" s="2" t="str">
        <f t="shared" ca="1" si="69"/>
        <v>Jeep</v>
      </c>
      <c r="M144" s="2" t="str">
        <f t="shared" ca="1" si="70"/>
        <v>SUV</v>
      </c>
      <c r="N144" s="2">
        <f t="shared" ca="1" si="71"/>
        <v>2016</v>
      </c>
      <c r="O144" s="2" t="str">
        <f t="shared" ca="1" si="72"/>
        <v>Loja</v>
      </c>
      <c r="P144" s="2" t="str">
        <f t="shared" ca="1" si="73"/>
        <v>Sul</v>
      </c>
      <c r="Q144" s="2" t="str">
        <f t="shared" ca="1" si="74"/>
        <v>RS</v>
      </c>
      <c r="R144" s="2" t="str">
        <f t="shared" ca="1" si="75"/>
        <v>Pelotas</v>
      </c>
      <c r="S144" s="8">
        <f t="shared" ca="1" si="76"/>
        <v>8</v>
      </c>
      <c r="T144" s="10">
        <f t="shared" ca="1" si="77"/>
        <v>81472</v>
      </c>
      <c r="U144" s="10">
        <f t="shared" ca="1" si="78"/>
        <v>57845.119999999995</v>
      </c>
      <c r="V144" s="10">
        <f t="shared" ca="1" si="79"/>
        <v>651776</v>
      </c>
      <c r="W144" s="10">
        <f t="shared" ca="1" si="80"/>
        <v>462760.95999999996</v>
      </c>
      <c r="X144" s="10">
        <f t="shared" ca="1" si="81"/>
        <v>189015.04000000004</v>
      </c>
      <c r="Y144" s="12">
        <f t="shared" ca="1" si="82"/>
        <v>0.29000000000000004</v>
      </c>
      <c r="Z144" s="2" t="str">
        <f t="shared" ca="1" si="83"/>
        <v>Em negociação</v>
      </c>
      <c r="AA144" s="8">
        <f t="shared" ca="1" si="84"/>
        <v>3</v>
      </c>
      <c r="AB144" s="2">
        <f t="shared" ca="1" si="85"/>
        <v>14</v>
      </c>
      <c r="AC144" s="2">
        <f t="shared" ca="1" si="86"/>
        <v>7</v>
      </c>
    </row>
    <row r="145" spans="1:29" x14ac:dyDescent="0.25">
      <c r="A145" s="14" t="str">
        <f t="shared" si="58"/>
        <v>VND-00145</v>
      </c>
      <c r="B145" s="5">
        <f t="shared" ca="1" si="59"/>
        <v>45009</v>
      </c>
      <c r="C145" s="2">
        <f t="shared" ca="1" si="60"/>
        <v>2023</v>
      </c>
      <c r="D145" s="2" t="str">
        <f t="shared" ca="1" si="61"/>
        <v>março</v>
      </c>
      <c r="E145" s="2" t="str">
        <f t="shared" ca="1" si="62"/>
        <v>2023/03</v>
      </c>
      <c r="F145" s="14" t="str">
        <f t="shared" ca="1" si="63"/>
        <v>CLI-3808</v>
      </c>
      <c r="G145" s="2" t="str">
        <f t="shared" ca="1" si="64"/>
        <v>Fernanda</v>
      </c>
      <c r="H145" s="2" t="str">
        <f t="shared" ca="1" si="65"/>
        <v>Novo</v>
      </c>
      <c r="I145" s="2" t="str">
        <f t="shared" ca="1" si="66"/>
        <v>Ricardo</v>
      </c>
      <c r="J145" s="14" t="str">
        <f t="shared" ca="1" si="67"/>
        <v>VCL-2299</v>
      </c>
      <c r="K145" s="2" t="str">
        <f t="shared" ca="1" si="68"/>
        <v>HB20</v>
      </c>
      <c r="L145" s="2" t="str">
        <f t="shared" ca="1" si="69"/>
        <v>Hyundai</v>
      </c>
      <c r="M145" s="2" t="str">
        <f t="shared" ca="1" si="70"/>
        <v>Popular</v>
      </c>
      <c r="N145" s="2">
        <f t="shared" ca="1" si="71"/>
        <v>2021</v>
      </c>
      <c r="O145" s="2" t="str">
        <f t="shared" ca="1" si="72"/>
        <v>Loja</v>
      </c>
      <c r="P145" s="2" t="str">
        <f t="shared" ca="1" si="73"/>
        <v>Norte</v>
      </c>
      <c r="Q145" s="2" t="str">
        <f t="shared" ca="1" si="74"/>
        <v>PA</v>
      </c>
      <c r="R145" s="2" t="str">
        <f t="shared" ca="1" si="75"/>
        <v>Castanhal</v>
      </c>
      <c r="S145" s="8">
        <f t="shared" ca="1" si="76"/>
        <v>7</v>
      </c>
      <c r="T145" s="10">
        <f t="shared" ca="1" si="77"/>
        <v>156171</v>
      </c>
      <c r="U145" s="10">
        <f t="shared" ca="1" si="78"/>
        <v>118689.96</v>
      </c>
      <c r="V145" s="10">
        <f t="shared" ca="1" si="79"/>
        <v>1093197</v>
      </c>
      <c r="W145" s="10">
        <f t="shared" ca="1" si="80"/>
        <v>830829.72000000009</v>
      </c>
      <c r="X145" s="10">
        <f t="shared" ca="1" si="81"/>
        <v>262367.27999999991</v>
      </c>
      <c r="Y145" s="12">
        <f t="shared" ca="1" si="82"/>
        <v>0.23999999999999991</v>
      </c>
      <c r="Z145" s="2" t="str">
        <f t="shared" ca="1" si="83"/>
        <v>Concluída</v>
      </c>
      <c r="AA145" s="8">
        <f t="shared" ca="1" si="84"/>
        <v>17</v>
      </c>
      <c r="AB145" s="2">
        <f t="shared" ca="1" si="85"/>
        <v>27</v>
      </c>
      <c r="AC145" s="2">
        <f t="shared" ca="1" si="86"/>
        <v>10</v>
      </c>
    </row>
    <row r="146" spans="1:29" x14ac:dyDescent="0.25">
      <c r="A146" s="14" t="str">
        <f t="shared" si="58"/>
        <v>VND-00146</v>
      </c>
      <c r="B146" s="5">
        <f t="shared" ca="1" si="59"/>
        <v>45421</v>
      </c>
      <c r="C146" s="2">
        <f t="shared" ca="1" si="60"/>
        <v>2024</v>
      </c>
      <c r="D146" s="2" t="str">
        <f t="shared" ca="1" si="61"/>
        <v>maio</v>
      </c>
      <c r="E146" s="2" t="str">
        <f t="shared" ca="1" si="62"/>
        <v>2024/05</v>
      </c>
      <c r="F146" s="14" t="str">
        <f t="shared" ca="1" si="63"/>
        <v>CLI-1072</v>
      </c>
      <c r="G146" s="2" t="str">
        <f t="shared" ca="1" si="64"/>
        <v>Ana</v>
      </c>
      <c r="H146" s="2" t="str">
        <f t="shared" ca="1" si="65"/>
        <v>Novo</v>
      </c>
      <c r="I146" s="2" t="str">
        <f t="shared" ca="1" si="66"/>
        <v>Roberto</v>
      </c>
      <c r="J146" s="14" t="str">
        <f t="shared" ca="1" si="67"/>
        <v>VCL-3579</v>
      </c>
      <c r="K146" s="2" t="str">
        <f t="shared" ca="1" si="68"/>
        <v>Corolla</v>
      </c>
      <c r="L146" s="2" t="str">
        <f t="shared" ca="1" si="69"/>
        <v>Toyota</v>
      </c>
      <c r="M146" s="2" t="str">
        <f t="shared" ca="1" si="70"/>
        <v>SUV</v>
      </c>
      <c r="N146" s="2">
        <f t="shared" ca="1" si="71"/>
        <v>2021</v>
      </c>
      <c r="O146" s="2" t="str">
        <f t="shared" ca="1" si="72"/>
        <v>Loja</v>
      </c>
      <c r="P146" s="2" t="str">
        <f t="shared" ca="1" si="73"/>
        <v>Nordeste</v>
      </c>
      <c r="Q146" s="2" t="str">
        <f t="shared" ca="1" si="74"/>
        <v>CE</v>
      </c>
      <c r="R146" s="2" t="str">
        <f t="shared" ca="1" si="75"/>
        <v>Caucaia</v>
      </c>
      <c r="S146" s="8">
        <f t="shared" ca="1" si="76"/>
        <v>6</v>
      </c>
      <c r="T146" s="10">
        <f t="shared" ca="1" si="77"/>
        <v>220198</v>
      </c>
      <c r="U146" s="10">
        <f t="shared" ca="1" si="78"/>
        <v>176158.40000000002</v>
      </c>
      <c r="V146" s="10">
        <f t="shared" ca="1" si="79"/>
        <v>1321188</v>
      </c>
      <c r="W146" s="10">
        <f t="shared" ca="1" si="80"/>
        <v>1056950.4000000001</v>
      </c>
      <c r="X146" s="10">
        <f t="shared" ca="1" si="81"/>
        <v>264237.59999999986</v>
      </c>
      <c r="Y146" s="12">
        <f t="shared" ca="1" si="82"/>
        <v>0.1999999999999999</v>
      </c>
      <c r="Z146" s="2" t="str">
        <f t="shared" ca="1" si="83"/>
        <v>Concluída</v>
      </c>
      <c r="AA146" s="8">
        <f t="shared" ca="1" si="84"/>
        <v>12</v>
      </c>
      <c r="AB146" s="2">
        <f t="shared" ca="1" si="85"/>
        <v>17</v>
      </c>
      <c r="AC146" s="2">
        <f t="shared" ca="1" si="86"/>
        <v>7</v>
      </c>
    </row>
    <row r="147" spans="1:29" x14ac:dyDescent="0.25">
      <c r="A147" s="14" t="str">
        <f t="shared" si="58"/>
        <v>VND-00147</v>
      </c>
      <c r="B147" s="5">
        <f t="shared" ca="1" si="59"/>
        <v>45466</v>
      </c>
      <c r="C147" s="2">
        <f t="shared" ca="1" si="60"/>
        <v>2024</v>
      </c>
      <c r="D147" s="2" t="str">
        <f t="shared" ca="1" si="61"/>
        <v>junho</v>
      </c>
      <c r="E147" s="2" t="str">
        <f t="shared" ca="1" si="62"/>
        <v>2024/06</v>
      </c>
      <c r="F147" s="14" t="str">
        <f t="shared" ca="1" si="63"/>
        <v>CLI-1123</v>
      </c>
      <c r="G147" s="2" t="str">
        <f t="shared" ca="1" si="64"/>
        <v>Fernanda</v>
      </c>
      <c r="H147" s="2" t="str">
        <f t="shared" ca="1" si="65"/>
        <v>Novo</v>
      </c>
      <c r="I147" s="2" t="str">
        <f t="shared" ca="1" si="66"/>
        <v>Juliana</v>
      </c>
      <c r="J147" s="14" t="str">
        <f t="shared" ca="1" si="67"/>
        <v>VCL-6657</v>
      </c>
      <c r="K147" s="2" t="str">
        <f t="shared" ca="1" si="68"/>
        <v>Onix</v>
      </c>
      <c r="L147" s="2" t="str">
        <f t="shared" ca="1" si="69"/>
        <v>Chevrolet</v>
      </c>
      <c r="M147" s="2" t="str">
        <f t="shared" ca="1" si="70"/>
        <v>Popular</v>
      </c>
      <c r="N147" s="2">
        <f t="shared" ca="1" si="71"/>
        <v>2022</v>
      </c>
      <c r="O147" s="2" t="str">
        <f t="shared" ca="1" si="72"/>
        <v>Loja</v>
      </c>
      <c r="P147" s="2" t="str">
        <f t="shared" ca="1" si="73"/>
        <v>Sul</v>
      </c>
      <c r="Q147" s="2" t="str">
        <f t="shared" ca="1" si="74"/>
        <v>PR</v>
      </c>
      <c r="R147" s="2" t="str">
        <f t="shared" ca="1" si="75"/>
        <v>Cascavel</v>
      </c>
      <c r="S147" s="8">
        <f t="shared" ca="1" si="76"/>
        <v>10</v>
      </c>
      <c r="T147" s="10">
        <f t="shared" ca="1" si="77"/>
        <v>142018</v>
      </c>
      <c r="U147" s="10">
        <f t="shared" ca="1" si="78"/>
        <v>117874.93999999999</v>
      </c>
      <c r="V147" s="10">
        <f t="shared" ca="1" si="79"/>
        <v>1420180</v>
      </c>
      <c r="W147" s="10">
        <f t="shared" ca="1" si="80"/>
        <v>1178749.3999999999</v>
      </c>
      <c r="X147" s="10">
        <f t="shared" ca="1" si="81"/>
        <v>241430.60000000009</v>
      </c>
      <c r="Y147" s="12">
        <f t="shared" ca="1" si="82"/>
        <v>0.17000000000000007</v>
      </c>
      <c r="Z147" s="2" t="str">
        <f t="shared" ca="1" si="83"/>
        <v>Cancelada</v>
      </c>
      <c r="AA147" s="8">
        <f t="shared" ca="1" si="84"/>
        <v>6</v>
      </c>
      <c r="AB147" s="2">
        <f t="shared" ca="1" si="85"/>
        <v>24</v>
      </c>
      <c r="AC147" s="2">
        <f t="shared" ca="1" si="86"/>
        <v>10</v>
      </c>
    </row>
    <row r="148" spans="1:29" x14ac:dyDescent="0.25">
      <c r="A148" s="14" t="str">
        <f t="shared" si="58"/>
        <v>VND-00148</v>
      </c>
      <c r="B148" s="5">
        <f t="shared" ca="1" si="59"/>
        <v>45721</v>
      </c>
      <c r="C148" s="2">
        <f t="shared" ca="1" si="60"/>
        <v>2025</v>
      </c>
      <c r="D148" s="2" t="str">
        <f t="shared" ca="1" si="61"/>
        <v>março</v>
      </c>
      <c r="E148" s="2" t="str">
        <f t="shared" ca="1" si="62"/>
        <v>2025/03</v>
      </c>
      <c r="F148" s="14" t="str">
        <f t="shared" ca="1" si="63"/>
        <v>CLI-6497</v>
      </c>
      <c r="G148" s="2" t="str">
        <f t="shared" ca="1" si="64"/>
        <v>Fernanda</v>
      </c>
      <c r="H148" s="2" t="str">
        <f t="shared" ca="1" si="65"/>
        <v>Novo</v>
      </c>
      <c r="I148" s="2" t="str">
        <f t="shared" ca="1" si="66"/>
        <v>Vinicius</v>
      </c>
      <c r="J148" s="14" t="str">
        <f t="shared" ca="1" si="67"/>
        <v>VCL-1445</v>
      </c>
      <c r="K148" s="2" t="str">
        <f t="shared" ca="1" si="68"/>
        <v>Compass</v>
      </c>
      <c r="L148" s="2" t="str">
        <f t="shared" ca="1" si="69"/>
        <v>Jeep</v>
      </c>
      <c r="M148" s="2" t="str">
        <f t="shared" ca="1" si="70"/>
        <v>SUV</v>
      </c>
      <c r="N148" s="2">
        <f t="shared" ca="1" si="71"/>
        <v>2022</v>
      </c>
      <c r="O148" s="2" t="str">
        <f t="shared" ca="1" si="72"/>
        <v>Loja</v>
      </c>
      <c r="P148" s="2" t="str">
        <f t="shared" ca="1" si="73"/>
        <v>Centro-Oeste</v>
      </c>
      <c r="Q148" s="2" t="str">
        <f t="shared" ca="1" si="74"/>
        <v>DF</v>
      </c>
      <c r="R148" s="2" t="str">
        <f t="shared" ca="1" si="75"/>
        <v>Brasília</v>
      </c>
      <c r="S148" s="8">
        <f t="shared" ca="1" si="76"/>
        <v>1</v>
      </c>
      <c r="T148" s="10">
        <f t="shared" ca="1" si="77"/>
        <v>121287</v>
      </c>
      <c r="U148" s="10">
        <f t="shared" ca="1" si="78"/>
        <v>93390.99</v>
      </c>
      <c r="V148" s="10">
        <f t="shared" ca="1" si="79"/>
        <v>121287</v>
      </c>
      <c r="W148" s="10">
        <f t="shared" ca="1" si="80"/>
        <v>93390.99</v>
      </c>
      <c r="X148" s="10">
        <f t="shared" ca="1" si="81"/>
        <v>27896.009999999995</v>
      </c>
      <c r="Y148" s="12">
        <f t="shared" ca="1" si="82"/>
        <v>0.22999999999999995</v>
      </c>
      <c r="Z148" s="2" t="str">
        <f t="shared" ca="1" si="83"/>
        <v>Concluída</v>
      </c>
      <c r="AA148" s="8">
        <f t="shared" ca="1" si="84"/>
        <v>18</v>
      </c>
      <c r="AB148" s="2">
        <f t="shared" ca="1" si="85"/>
        <v>13</v>
      </c>
      <c r="AC148" s="2">
        <f t="shared" ca="1" si="86"/>
        <v>7</v>
      </c>
    </row>
    <row r="149" spans="1:29" x14ac:dyDescent="0.25">
      <c r="A149" s="14" t="str">
        <f t="shared" si="58"/>
        <v>VND-00149</v>
      </c>
      <c r="B149" s="5">
        <f t="shared" ca="1" si="59"/>
        <v>45629</v>
      </c>
      <c r="C149" s="2">
        <f t="shared" ca="1" si="60"/>
        <v>2024</v>
      </c>
      <c r="D149" s="2" t="str">
        <f t="shared" ca="1" si="61"/>
        <v>dezembro</v>
      </c>
      <c r="E149" s="2" t="str">
        <f t="shared" ca="1" si="62"/>
        <v>2024/12</v>
      </c>
      <c r="F149" s="14" t="str">
        <f t="shared" ca="1" si="63"/>
        <v>CLI-8747</v>
      </c>
      <c r="G149" s="2" t="str">
        <f t="shared" ca="1" si="64"/>
        <v>Maria</v>
      </c>
      <c r="H149" s="2" t="str">
        <f t="shared" ca="1" si="65"/>
        <v>Recorrente</v>
      </c>
      <c r="I149" s="2" t="str">
        <f t="shared" ca="1" si="66"/>
        <v>Patricia</v>
      </c>
      <c r="J149" s="14" t="str">
        <f t="shared" ca="1" si="67"/>
        <v>VCL-7268</v>
      </c>
      <c r="K149" s="2" t="str">
        <f t="shared" ca="1" si="68"/>
        <v>Compass</v>
      </c>
      <c r="L149" s="2" t="str">
        <f t="shared" ca="1" si="69"/>
        <v>Jeep</v>
      </c>
      <c r="M149" s="2" t="str">
        <f t="shared" ca="1" si="70"/>
        <v>SUV</v>
      </c>
      <c r="N149" s="2">
        <f t="shared" ca="1" si="71"/>
        <v>2018</v>
      </c>
      <c r="O149" s="2" t="str">
        <f t="shared" ca="1" si="72"/>
        <v>Loja</v>
      </c>
      <c r="P149" s="2" t="str">
        <f t="shared" ca="1" si="73"/>
        <v>Nordeste</v>
      </c>
      <c r="Q149" s="2" t="str">
        <f t="shared" ca="1" si="74"/>
        <v>CE</v>
      </c>
      <c r="R149" s="2" t="str">
        <f t="shared" ca="1" si="75"/>
        <v>Caucaia</v>
      </c>
      <c r="S149" s="8">
        <f t="shared" ca="1" si="76"/>
        <v>2</v>
      </c>
      <c r="T149" s="10">
        <f t="shared" ca="1" si="77"/>
        <v>71021</v>
      </c>
      <c r="U149" s="10">
        <f t="shared" ca="1" si="78"/>
        <v>56816.800000000003</v>
      </c>
      <c r="V149" s="10">
        <f t="shared" ca="1" si="79"/>
        <v>142042</v>
      </c>
      <c r="W149" s="10">
        <f t="shared" ca="1" si="80"/>
        <v>113633.60000000001</v>
      </c>
      <c r="X149" s="10">
        <f t="shared" ca="1" si="81"/>
        <v>28408.399999999994</v>
      </c>
      <c r="Y149" s="12">
        <f t="shared" ca="1" si="82"/>
        <v>0.19999999999999996</v>
      </c>
      <c r="Z149" s="2" t="str">
        <f t="shared" ca="1" si="83"/>
        <v>Cancelada</v>
      </c>
      <c r="AA149" s="8">
        <f t="shared" ca="1" si="84"/>
        <v>24</v>
      </c>
      <c r="AB149" s="2">
        <f t="shared" ca="1" si="85"/>
        <v>14</v>
      </c>
      <c r="AC149" s="2">
        <f t="shared" ca="1" si="86"/>
        <v>7</v>
      </c>
    </row>
    <row r="150" spans="1:29" x14ac:dyDescent="0.25">
      <c r="A150" s="14" t="str">
        <f t="shared" si="58"/>
        <v>VND-00150</v>
      </c>
      <c r="B150" s="5">
        <f t="shared" ca="1" si="59"/>
        <v>45314</v>
      </c>
      <c r="C150" s="2">
        <f t="shared" ca="1" si="60"/>
        <v>2024</v>
      </c>
      <c r="D150" s="2" t="str">
        <f t="shared" ca="1" si="61"/>
        <v>janeiro</v>
      </c>
      <c r="E150" s="2" t="str">
        <f t="shared" ca="1" si="62"/>
        <v>2024/01</v>
      </c>
      <c r="F150" s="14" t="str">
        <f t="shared" ca="1" si="63"/>
        <v>CLI-8280</v>
      </c>
      <c r="G150" s="2" t="str">
        <f t="shared" ca="1" si="64"/>
        <v>Maria</v>
      </c>
      <c r="H150" s="2" t="str">
        <f t="shared" ca="1" si="65"/>
        <v>Novo</v>
      </c>
      <c r="I150" s="2" t="str">
        <f t="shared" ca="1" si="66"/>
        <v>Eduardo</v>
      </c>
      <c r="J150" s="14" t="str">
        <f t="shared" ca="1" si="67"/>
        <v>VCL-5665</v>
      </c>
      <c r="K150" s="2" t="str">
        <f t="shared" ca="1" si="68"/>
        <v>Civic</v>
      </c>
      <c r="L150" s="2" t="str">
        <f t="shared" ca="1" si="69"/>
        <v>Honda</v>
      </c>
      <c r="M150" s="2" t="str">
        <f t="shared" ca="1" si="70"/>
        <v>SUV</v>
      </c>
      <c r="N150" s="2">
        <f t="shared" ca="1" si="71"/>
        <v>2024</v>
      </c>
      <c r="O150" s="2" t="str">
        <f t="shared" ca="1" si="72"/>
        <v>Loja</v>
      </c>
      <c r="P150" s="2" t="str">
        <f t="shared" ca="1" si="73"/>
        <v>Centro-Oeste</v>
      </c>
      <c r="Q150" s="2" t="str">
        <f t="shared" ca="1" si="74"/>
        <v>GO</v>
      </c>
      <c r="R150" s="2" t="str">
        <f t="shared" ca="1" si="75"/>
        <v>Goiânia</v>
      </c>
      <c r="S150" s="8">
        <f t="shared" ca="1" si="76"/>
        <v>3</v>
      </c>
      <c r="T150" s="10">
        <f t="shared" ca="1" si="77"/>
        <v>88092</v>
      </c>
      <c r="U150" s="10">
        <f t="shared" ca="1" si="78"/>
        <v>72235.44</v>
      </c>
      <c r="V150" s="10">
        <f t="shared" ca="1" si="79"/>
        <v>264276</v>
      </c>
      <c r="W150" s="10">
        <f t="shared" ca="1" si="80"/>
        <v>216706.32</v>
      </c>
      <c r="X150" s="10">
        <f t="shared" ca="1" si="81"/>
        <v>47569.679999999993</v>
      </c>
      <c r="Y150" s="12">
        <f t="shared" ca="1" si="82"/>
        <v>0.17999999999999997</v>
      </c>
      <c r="Z150" s="2" t="str">
        <f t="shared" ca="1" si="83"/>
        <v>Cancelada</v>
      </c>
      <c r="AA150" s="8">
        <f t="shared" ca="1" si="84"/>
        <v>7</v>
      </c>
      <c r="AB150" s="2">
        <f t="shared" ca="1" si="85"/>
        <v>12</v>
      </c>
      <c r="AC150" s="2">
        <f t="shared" ca="1" si="86"/>
        <v>7</v>
      </c>
    </row>
    <row r="151" spans="1:29" x14ac:dyDescent="0.25">
      <c r="A151" s="14" t="str">
        <f t="shared" si="58"/>
        <v>VND-00151</v>
      </c>
      <c r="B151" s="5">
        <f t="shared" ca="1" si="59"/>
        <v>45186</v>
      </c>
      <c r="C151" s="2">
        <f t="shared" ca="1" si="60"/>
        <v>2023</v>
      </c>
      <c r="D151" s="2" t="str">
        <f t="shared" ca="1" si="61"/>
        <v>setembro</v>
      </c>
      <c r="E151" s="2" t="str">
        <f t="shared" ca="1" si="62"/>
        <v>2023/09</v>
      </c>
      <c r="F151" s="14" t="str">
        <f t="shared" ca="1" si="63"/>
        <v>CLI-7358</v>
      </c>
      <c r="G151" s="2" t="str">
        <f t="shared" ca="1" si="64"/>
        <v>Juliana</v>
      </c>
      <c r="H151" s="2" t="str">
        <f t="shared" ca="1" si="65"/>
        <v>Novo</v>
      </c>
      <c r="I151" s="2" t="str">
        <f t="shared" ca="1" si="66"/>
        <v>Marcos</v>
      </c>
      <c r="J151" s="14" t="str">
        <f t="shared" ca="1" si="67"/>
        <v>VCL-7390</v>
      </c>
      <c r="K151" s="2" t="str">
        <f t="shared" ca="1" si="68"/>
        <v>Civic</v>
      </c>
      <c r="L151" s="2" t="str">
        <f t="shared" ca="1" si="69"/>
        <v>Honda</v>
      </c>
      <c r="M151" s="2" t="str">
        <f t="shared" ca="1" si="70"/>
        <v>SUV</v>
      </c>
      <c r="N151" s="2">
        <f t="shared" ca="1" si="71"/>
        <v>2019</v>
      </c>
      <c r="O151" s="2" t="str">
        <f t="shared" ca="1" si="72"/>
        <v>Loja</v>
      </c>
      <c r="P151" s="2" t="str">
        <f t="shared" ca="1" si="73"/>
        <v>Sul</v>
      </c>
      <c r="Q151" s="2" t="str">
        <f t="shared" ca="1" si="74"/>
        <v>SC</v>
      </c>
      <c r="R151" s="2" t="str">
        <f t="shared" ca="1" si="75"/>
        <v>Itajaí</v>
      </c>
      <c r="S151" s="8">
        <f t="shared" ca="1" si="76"/>
        <v>3</v>
      </c>
      <c r="T151" s="10">
        <f t="shared" ca="1" si="77"/>
        <v>113427</v>
      </c>
      <c r="U151" s="10">
        <f t="shared" ca="1" si="78"/>
        <v>88473.06</v>
      </c>
      <c r="V151" s="10">
        <f t="shared" ca="1" si="79"/>
        <v>340281</v>
      </c>
      <c r="W151" s="10">
        <f t="shared" ca="1" si="80"/>
        <v>265419.18</v>
      </c>
      <c r="X151" s="10">
        <f t="shared" ca="1" si="81"/>
        <v>74861.820000000007</v>
      </c>
      <c r="Y151" s="12">
        <f t="shared" ca="1" si="82"/>
        <v>0.22000000000000003</v>
      </c>
      <c r="Z151" s="2" t="str">
        <f t="shared" ca="1" si="83"/>
        <v>Cancelada</v>
      </c>
      <c r="AA151" s="8">
        <f t="shared" ca="1" si="84"/>
        <v>9</v>
      </c>
      <c r="AB151" s="2">
        <f t="shared" ca="1" si="85"/>
        <v>20</v>
      </c>
      <c r="AC151" s="2">
        <f t="shared" ca="1" si="86"/>
        <v>7</v>
      </c>
    </row>
    <row r="152" spans="1:29" x14ac:dyDescent="0.25">
      <c r="A152" s="14" t="str">
        <f t="shared" si="58"/>
        <v>VND-00152</v>
      </c>
      <c r="B152" s="5">
        <f t="shared" ca="1" si="59"/>
        <v>44941</v>
      </c>
      <c r="C152" s="2">
        <f t="shared" ca="1" si="60"/>
        <v>2023</v>
      </c>
      <c r="D152" s="2" t="str">
        <f t="shared" ca="1" si="61"/>
        <v>janeiro</v>
      </c>
      <c r="E152" s="2" t="str">
        <f t="shared" ca="1" si="62"/>
        <v>2023/01</v>
      </c>
      <c r="F152" s="14" t="str">
        <f t="shared" ca="1" si="63"/>
        <v>CLI-5764</v>
      </c>
      <c r="G152" s="2" t="str">
        <f t="shared" ca="1" si="64"/>
        <v>Rafael</v>
      </c>
      <c r="H152" s="2" t="str">
        <f t="shared" ca="1" si="65"/>
        <v>Novo</v>
      </c>
      <c r="I152" s="2" t="str">
        <f t="shared" ca="1" si="66"/>
        <v>Vinicius</v>
      </c>
      <c r="J152" s="14" t="str">
        <f t="shared" ca="1" si="67"/>
        <v>VCL-4282</v>
      </c>
      <c r="K152" s="2" t="str">
        <f t="shared" ca="1" si="68"/>
        <v>BMW X1</v>
      </c>
      <c r="L152" s="2" t="str">
        <f t="shared" ca="1" si="69"/>
        <v>BMW</v>
      </c>
      <c r="M152" s="2" t="str">
        <f t="shared" ca="1" si="70"/>
        <v>Luxo</v>
      </c>
      <c r="N152" s="2">
        <f t="shared" ca="1" si="71"/>
        <v>2020</v>
      </c>
      <c r="O152" s="2" t="str">
        <f t="shared" ca="1" si="72"/>
        <v>Online</v>
      </c>
      <c r="P152" s="2" t="str">
        <f t="shared" ca="1" si="73"/>
        <v>Centro-Oeste</v>
      </c>
      <c r="Q152" s="2" t="str">
        <f t="shared" ca="1" si="74"/>
        <v>GO</v>
      </c>
      <c r="R152" s="2" t="str">
        <f t="shared" ca="1" si="75"/>
        <v>Goiânia</v>
      </c>
      <c r="S152" s="8">
        <f t="shared" ca="1" si="76"/>
        <v>3</v>
      </c>
      <c r="T152" s="10">
        <f t="shared" ca="1" si="77"/>
        <v>63322</v>
      </c>
      <c r="U152" s="10">
        <f t="shared" ca="1" si="78"/>
        <v>53823.7</v>
      </c>
      <c r="V152" s="10">
        <f t="shared" ca="1" si="79"/>
        <v>189966</v>
      </c>
      <c r="W152" s="10">
        <f t="shared" ca="1" si="80"/>
        <v>161471.09999999998</v>
      </c>
      <c r="X152" s="10">
        <f t="shared" ca="1" si="81"/>
        <v>28494.900000000023</v>
      </c>
      <c r="Y152" s="12">
        <f t="shared" ca="1" si="82"/>
        <v>0.15000000000000013</v>
      </c>
      <c r="Z152" s="2" t="str">
        <f t="shared" ca="1" si="83"/>
        <v>Concluída</v>
      </c>
      <c r="AA152" s="8">
        <f t="shared" ca="1" si="84"/>
        <v>19</v>
      </c>
      <c r="AB152" s="2">
        <f t="shared" ca="1" si="85"/>
        <v>2</v>
      </c>
      <c r="AC152" s="2">
        <f t="shared" ca="1" si="86"/>
        <v>3</v>
      </c>
    </row>
    <row r="153" spans="1:29" x14ac:dyDescent="0.25">
      <c r="A153" s="14" t="str">
        <f t="shared" si="58"/>
        <v>VND-00153</v>
      </c>
      <c r="B153" s="5">
        <f t="shared" ca="1" si="59"/>
        <v>45165</v>
      </c>
      <c r="C153" s="2">
        <f t="shared" ca="1" si="60"/>
        <v>2023</v>
      </c>
      <c r="D153" s="2" t="str">
        <f t="shared" ca="1" si="61"/>
        <v>agosto</v>
      </c>
      <c r="E153" s="2" t="str">
        <f t="shared" ca="1" si="62"/>
        <v>2023/08</v>
      </c>
      <c r="F153" s="14" t="str">
        <f t="shared" ca="1" si="63"/>
        <v>CLI-1764</v>
      </c>
      <c r="G153" s="2" t="str">
        <f t="shared" ca="1" si="64"/>
        <v>Carlos</v>
      </c>
      <c r="H153" s="2" t="str">
        <f t="shared" ca="1" si="65"/>
        <v>Recorrente</v>
      </c>
      <c r="I153" s="2" t="str">
        <f t="shared" ca="1" si="66"/>
        <v>Marcos</v>
      </c>
      <c r="J153" s="14" t="str">
        <f t="shared" ca="1" si="67"/>
        <v>VCL-3153</v>
      </c>
      <c r="K153" s="2" t="str">
        <f t="shared" ca="1" si="68"/>
        <v>HB20</v>
      </c>
      <c r="L153" s="2" t="str">
        <f t="shared" ca="1" si="69"/>
        <v>Hyundai</v>
      </c>
      <c r="M153" s="2" t="str">
        <f t="shared" ca="1" si="70"/>
        <v>Popular</v>
      </c>
      <c r="N153" s="2">
        <f t="shared" ca="1" si="71"/>
        <v>2020</v>
      </c>
      <c r="O153" s="2" t="str">
        <f t="shared" ca="1" si="72"/>
        <v>Loja</v>
      </c>
      <c r="P153" s="2" t="str">
        <f t="shared" ca="1" si="73"/>
        <v>Sul</v>
      </c>
      <c r="Q153" s="2" t="str">
        <f t="shared" ca="1" si="74"/>
        <v>PR</v>
      </c>
      <c r="R153" s="2" t="str">
        <f t="shared" ca="1" si="75"/>
        <v>Curitiba</v>
      </c>
      <c r="S153" s="8">
        <f t="shared" ca="1" si="76"/>
        <v>7</v>
      </c>
      <c r="T153" s="10">
        <f t="shared" ca="1" si="77"/>
        <v>242537</v>
      </c>
      <c r="U153" s="10">
        <f t="shared" ca="1" si="78"/>
        <v>186753.49</v>
      </c>
      <c r="V153" s="10">
        <f t="shared" ca="1" si="79"/>
        <v>1697759</v>
      </c>
      <c r="W153" s="10">
        <f t="shared" ca="1" si="80"/>
        <v>1307274.43</v>
      </c>
      <c r="X153" s="10">
        <f t="shared" ca="1" si="81"/>
        <v>390484.57000000007</v>
      </c>
      <c r="Y153" s="12">
        <f t="shared" ca="1" si="82"/>
        <v>0.23000000000000004</v>
      </c>
      <c r="Z153" s="2" t="str">
        <f t="shared" ca="1" si="83"/>
        <v>Concluída</v>
      </c>
      <c r="AA153" s="8">
        <f t="shared" ca="1" si="84"/>
        <v>24</v>
      </c>
      <c r="AB153" s="2">
        <f t="shared" ca="1" si="85"/>
        <v>18</v>
      </c>
      <c r="AC153" s="2">
        <f t="shared" ca="1" si="86"/>
        <v>10</v>
      </c>
    </row>
    <row r="154" spans="1:29" x14ac:dyDescent="0.25">
      <c r="A154" s="14" t="str">
        <f t="shared" si="58"/>
        <v>VND-00154</v>
      </c>
      <c r="B154" s="5">
        <f t="shared" ca="1" si="59"/>
        <v>45437</v>
      </c>
      <c r="C154" s="2">
        <f t="shared" ca="1" si="60"/>
        <v>2024</v>
      </c>
      <c r="D154" s="2" t="str">
        <f t="shared" ca="1" si="61"/>
        <v>maio</v>
      </c>
      <c r="E154" s="2" t="str">
        <f t="shared" ca="1" si="62"/>
        <v>2024/05</v>
      </c>
      <c r="F154" s="14" t="str">
        <f t="shared" ca="1" si="63"/>
        <v>CLI-4200</v>
      </c>
      <c r="G154" s="2" t="str">
        <f t="shared" ca="1" si="64"/>
        <v>Carlos</v>
      </c>
      <c r="H154" s="2" t="str">
        <f t="shared" ca="1" si="65"/>
        <v>Recorrente</v>
      </c>
      <c r="I154" s="2" t="str">
        <f t="shared" ca="1" si="66"/>
        <v>Patricia</v>
      </c>
      <c r="J154" s="14" t="str">
        <f t="shared" ca="1" si="67"/>
        <v>VCL-5980</v>
      </c>
      <c r="K154" s="2" t="str">
        <f t="shared" ca="1" si="68"/>
        <v>BMW X1</v>
      </c>
      <c r="L154" s="2" t="str">
        <f t="shared" ca="1" si="69"/>
        <v>BMW</v>
      </c>
      <c r="M154" s="2" t="str">
        <f t="shared" ca="1" si="70"/>
        <v>Luxo</v>
      </c>
      <c r="N154" s="2">
        <f t="shared" ca="1" si="71"/>
        <v>2019</v>
      </c>
      <c r="O154" s="2" t="str">
        <f t="shared" ca="1" si="72"/>
        <v>Online</v>
      </c>
      <c r="P154" s="2" t="str">
        <f t="shared" ca="1" si="73"/>
        <v>Nordeste</v>
      </c>
      <c r="Q154" s="2" t="str">
        <f t="shared" ca="1" si="74"/>
        <v>PE</v>
      </c>
      <c r="R154" s="2" t="str">
        <f t="shared" ca="1" si="75"/>
        <v>Caruaru</v>
      </c>
      <c r="S154" s="8">
        <f t="shared" ca="1" si="76"/>
        <v>10</v>
      </c>
      <c r="T154" s="10">
        <f t="shared" ca="1" si="77"/>
        <v>122310</v>
      </c>
      <c r="U154" s="10">
        <f t="shared" ca="1" si="78"/>
        <v>86840.099999999991</v>
      </c>
      <c r="V154" s="10">
        <f t="shared" ca="1" si="79"/>
        <v>1223100</v>
      </c>
      <c r="W154" s="10">
        <f t="shared" ca="1" si="80"/>
        <v>868400.99999999988</v>
      </c>
      <c r="X154" s="10">
        <f t="shared" ca="1" si="81"/>
        <v>354699.00000000012</v>
      </c>
      <c r="Y154" s="12">
        <f t="shared" ca="1" si="82"/>
        <v>0.29000000000000009</v>
      </c>
      <c r="Z154" s="2" t="str">
        <f t="shared" ca="1" si="83"/>
        <v>Em negociação</v>
      </c>
      <c r="AA154" s="8">
        <f t="shared" ca="1" si="84"/>
        <v>17</v>
      </c>
      <c r="AB154" s="2">
        <f t="shared" ca="1" si="85"/>
        <v>5</v>
      </c>
      <c r="AC154" s="2">
        <f t="shared" ca="1" si="86"/>
        <v>3</v>
      </c>
    </row>
    <row r="155" spans="1:29" x14ac:dyDescent="0.25">
      <c r="A155" s="14" t="str">
        <f t="shared" si="58"/>
        <v>VND-00155</v>
      </c>
      <c r="B155" s="5">
        <f t="shared" ca="1" si="59"/>
        <v>45386</v>
      </c>
      <c r="C155" s="2">
        <f t="shared" ca="1" si="60"/>
        <v>2024</v>
      </c>
      <c r="D155" s="2" t="str">
        <f t="shared" ca="1" si="61"/>
        <v>abril</v>
      </c>
      <c r="E155" s="2" t="str">
        <f t="shared" ca="1" si="62"/>
        <v>2024/04</v>
      </c>
      <c r="F155" s="14" t="str">
        <f t="shared" ca="1" si="63"/>
        <v>CLI-6362</v>
      </c>
      <c r="G155" s="2" t="str">
        <f t="shared" ca="1" si="64"/>
        <v>Lucas</v>
      </c>
      <c r="H155" s="2" t="str">
        <f t="shared" ca="1" si="65"/>
        <v>Recorrente</v>
      </c>
      <c r="I155" s="2" t="str">
        <f t="shared" ca="1" si="66"/>
        <v>Patricia</v>
      </c>
      <c r="J155" s="14" t="str">
        <f t="shared" ca="1" si="67"/>
        <v>VCL-8342</v>
      </c>
      <c r="K155" s="2" t="str">
        <f t="shared" ca="1" si="68"/>
        <v>Onix</v>
      </c>
      <c r="L155" s="2" t="str">
        <f t="shared" ca="1" si="69"/>
        <v>Chevrolet</v>
      </c>
      <c r="M155" s="2" t="str">
        <f t="shared" ca="1" si="70"/>
        <v>Popular</v>
      </c>
      <c r="N155" s="2">
        <f t="shared" ca="1" si="71"/>
        <v>2022</v>
      </c>
      <c r="O155" s="2" t="str">
        <f t="shared" ca="1" si="72"/>
        <v>Loja</v>
      </c>
      <c r="P155" s="2" t="str">
        <f t="shared" ca="1" si="73"/>
        <v>Nordeste</v>
      </c>
      <c r="Q155" s="2" t="str">
        <f t="shared" ca="1" si="74"/>
        <v>BA</v>
      </c>
      <c r="R155" s="2" t="str">
        <f t="shared" ca="1" si="75"/>
        <v>Vitória da Conquista</v>
      </c>
      <c r="S155" s="8">
        <f t="shared" ca="1" si="76"/>
        <v>9</v>
      </c>
      <c r="T155" s="10">
        <f t="shared" ca="1" si="77"/>
        <v>241526</v>
      </c>
      <c r="U155" s="10">
        <f t="shared" ca="1" si="78"/>
        <v>198051.31999999998</v>
      </c>
      <c r="V155" s="10">
        <f t="shared" ca="1" si="79"/>
        <v>2173734</v>
      </c>
      <c r="W155" s="10">
        <f t="shared" ca="1" si="80"/>
        <v>1782461.88</v>
      </c>
      <c r="X155" s="10">
        <f t="shared" ca="1" si="81"/>
        <v>391272.12000000011</v>
      </c>
      <c r="Y155" s="12">
        <f t="shared" ca="1" si="82"/>
        <v>0.18000000000000005</v>
      </c>
      <c r="Z155" s="2" t="str">
        <f t="shared" ca="1" si="83"/>
        <v>Cancelada</v>
      </c>
      <c r="AA155" s="8">
        <f t="shared" ca="1" si="84"/>
        <v>16</v>
      </c>
      <c r="AB155" s="2">
        <f t="shared" ca="1" si="85"/>
        <v>20</v>
      </c>
      <c r="AC155" s="2">
        <f t="shared" ca="1" si="86"/>
        <v>10</v>
      </c>
    </row>
    <row r="156" spans="1:29" x14ac:dyDescent="0.25">
      <c r="A156" s="14" t="str">
        <f t="shared" si="58"/>
        <v>VND-00156</v>
      </c>
      <c r="B156" s="5">
        <f t="shared" ca="1" si="59"/>
        <v>45506</v>
      </c>
      <c r="C156" s="2">
        <f t="shared" ca="1" si="60"/>
        <v>2024</v>
      </c>
      <c r="D156" s="2" t="str">
        <f t="shared" ca="1" si="61"/>
        <v>agosto</v>
      </c>
      <c r="E156" s="2" t="str">
        <f t="shared" ca="1" si="62"/>
        <v>2024/08</v>
      </c>
      <c r="F156" s="14" t="str">
        <f t="shared" ca="1" si="63"/>
        <v>CLI-6045</v>
      </c>
      <c r="G156" s="2" t="str">
        <f t="shared" ca="1" si="64"/>
        <v>Maria</v>
      </c>
      <c r="H156" s="2" t="str">
        <f t="shared" ca="1" si="65"/>
        <v>Recorrente</v>
      </c>
      <c r="I156" s="2" t="str">
        <f t="shared" ca="1" si="66"/>
        <v>Felipe</v>
      </c>
      <c r="J156" s="14" t="str">
        <f t="shared" ca="1" si="67"/>
        <v>VCL-2187</v>
      </c>
      <c r="K156" s="2" t="str">
        <f t="shared" ca="1" si="68"/>
        <v>BMW X1</v>
      </c>
      <c r="L156" s="2" t="str">
        <f t="shared" ca="1" si="69"/>
        <v>BMW</v>
      </c>
      <c r="M156" s="2" t="str">
        <f t="shared" ca="1" si="70"/>
        <v>Luxo</v>
      </c>
      <c r="N156" s="2">
        <f t="shared" ca="1" si="71"/>
        <v>2021</v>
      </c>
      <c r="O156" s="2" t="str">
        <f t="shared" ca="1" si="72"/>
        <v>Loja</v>
      </c>
      <c r="P156" s="2" t="str">
        <f t="shared" ca="1" si="73"/>
        <v>Norte</v>
      </c>
      <c r="Q156" s="2" t="str">
        <f t="shared" ca="1" si="74"/>
        <v>AM</v>
      </c>
      <c r="R156" s="2" t="str">
        <f t="shared" ca="1" si="75"/>
        <v>Manacapuru</v>
      </c>
      <c r="S156" s="8">
        <f t="shared" ca="1" si="76"/>
        <v>2</v>
      </c>
      <c r="T156" s="10">
        <f t="shared" ca="1" si="77"/>
        <v>100651</v>
      </c>
      <c r="U156" s="10">
        <f t="shared" ca="1" si="78"/>
        <v>74481.740000000005</v>
      </c>
      <c r="V156" s="10">
        <f t="shared" ca="1" si="79"/>
        <v>201302</v>
      </c>
      <c r="W156" s="10">
        <f t="shared" ca="1" si="80"/>
        <v>148963.48000000001</v>
      </c>
      <c r="X156" s="10">
        <f t="shared" ca="1" si="81"/>
        <v>52338.51999999999</v>
      </c>
      <c r="Y156" s="12">
        <f t="shared" ca="1" si="82"/>
        <v>0.25999999999999995</v>
      </c>
      <c r="Z156" s="2" t="str">
        <f t="shared" ca="1" si="83"/>
        <v>Cancelada</v>
      </c>
      <c r="AA156" s="8">
        <f t="shared" ca="1" si="84"/>
        <v>22</v>
      </c>
      <c r="AB156" s="2">
        <f t="shared" ca="1" si="85"/>
        <v>9</v>
      </c>
      <c r="AC156" s="2">
        <f t="shared" ca="1" si="86"/>
        <v>3</v>
      </c>
    </row>
    <row r="157" spans="1:29" x14ac:dyDescent="0.25">
      <c r="A157" s="14" t="str">
        <f t="shared" si="58"/>
        <v>VND-00157</v>
      </c>
      <c r="B157" s="5">
        <f t="shared" ca="1" si="59"/>
        <v>45506</v>
      </c>
      <c r="C157" s="2">
        <f t="shared" ca="1" si="60"/>
        <v>2024</v>
      </c>
      <c r="D157" s="2" t="str">
        <f t="shared" ca="1" si="61"/>
        <v>agosto</v>
      </c>
      <c r="E157" s="2" t="str">
        <f t="shared" ca="1" si="62"/>
        <v>2024/08</v>
      </c>
      <c r="F157" s="14" t="str">
        <f t="shared" ca="1" si="63"/>
        <v>CLI-1897</v>
      </c>
      <c r="G157" s="2" t="str">
        <f t="shared" ca="1" si="64"/>
        <v>Ana</v>
      </c>
      <c r="H157" s="2" t="str">
        <f t="shared" ca="1" si="65"/>
        <v>Novo</v>
      </c>
      <c r="I157" s="2" t="str">
        <f t="shared" ca="1" si="66"/>
        <v>Patricia</v>
      </c>
      <c r="J157" s="14" t="str">
        <f t="shared" ca="1" si="67"/>
        <v>VCL-2157</v>
      </c>
      <c r="K157" s="2" t="str">
        <f t="shared" ca="1" si="68"/>
        <v>HB20</v>
      </c>
      <c r="L157" s="2" t="str">
        <f t="shared" ca="1" si="69"/>
        <v>Hyundai</v>
      </c>
      <c r="M157" s="2" t="str">
        <f t="shared" ca="1" si="70"/>
        <v>Popular</v>
      </c>
      <c r="N157" s="2">
        <f t="shared" ca="1" si="71"/>
        <v>2015</v>
      </c>
      <c r="O157" s="2" t="str">
        <f t="shared" ca="1" si="72"/>
        <v>Loja</v>
      </c>
      <c r="P157" s="2" t="str">
        <f t="shared" ca="1" si="73"/>
        <v>Nordeste</v>
      </c>
      <c r="Q157" s="2" t="str">
        <f t="shared" ca="1" si="74"/>
        <v>BA</v>
      </c>
      <c r="R157" s="2" t="str">
        <f t="shared" ca="1" si="75"/>
        <v>Camaçari</v>
      </c>
      <c r="S157" s="8">
        <f t="shared" ca="1" si="76"/>
        <v>5</v>
      </c>
      <c r="T157" s="10">
        <f t="shared" ca="1" si="77"/>
        <v>238910</v>
      </c>
      <c r="U157" s="10">
        <f t="shared" ca="1" si="78"/>
        <v>186349.80000000002</v>
      </c>
      <c r="V157" s="10">
        <f t="shared" ca="1" si="79"/>
        <v>1194550</v>
      </c>
      <c r="W157" s="10">
        <f t="shared" ca="1" si="80"/>
        <v>931749.00000000012</v>
      </c>
      <c r="X157" s="10">
        <f t="shared" ca="1" si="81"/>
        <v>262800.99999999988</v>
      </c>
      <c r="Y157" s="12">
        <f t="shared" ca="1" si="82"/>
        <v>0.21999999999999989</v>
      </c>
      <c r="Z157" s="2" t="str">
        <f t="shared" ca="1" si="83"/>
        <v>Cancelada</v>
      </c>
      <c r="AA157" s="8">
        <f t="shared" ca="1" si="84"/>
        <v>18</v>
      </c>
      <c r="AB157" s="2">
        <f t="shared" ca="1" si="85"/>
        <v>30</v>
      </c>
      <c r="AC157" s="2">
        <f t="shared" ca="1" si="86"/>
        <v>10</v>
      </c>
    </row>
    <row r="158" spans="1:29" x14ac:dyDescent="0.25">
      <c r="A158" s="14" t="str">
        <f t="shared" si="58"/>
        <v>VND-00158</v>
      </c>
      <c r="B158" s="5">
        <f t="shared" ca="1" si="59"/>
        <v>45487</v>
      </c>
      <c r="C158" s="2">
        <f t="shared" ca="1" si="60"/>
        <v>2024</v>
      </c>
      <c r="D158" s="2" t="str">
        <f t="shared" ca="1" si="61"/>
        <v>julho</v>
      </c>
      <c r="E158" s="2" t="str">
        <f t="shared" ca="1" si="62"/>
        <v>2024/07</v>
      </c>
      <c r="F158" s="14" t="str">
        <f t="shared" ca="1" si="63"/>
        <v>CLI-8276</v>
      </c>
      <c r="G158" s="2" t="str">
        <f t="shared" ca="1" si="64"/>
        <v>Ana</v>
      </c>
      <c r="H158" s="2" t="str">
        <f t="shared" ca="1" si="65"/>
        <v>Novo</v>
      </c>
      <c r="I158" s="2" t="str">
        <f t="shared" ca="1" si="66"/>
        <v>Tatiane</v>
      </c>
      <c r="J158" s="14" t="str">
        <f t="shared" ca="1" si="67"/>
        <v>VCL-7201</v>
      </c>
      <c r="K158" s="2" t="str">
        <f t="shared" ca="1" si="68"/>
        <v>BMW X1</v>
      </c>
      <c r="L158" s="2" t="str">
        <f t="shared" ca="1" si="69"/>
        <v>BMW</v>
      </c>
      <c r="M158" s="2" t="str">
        <f t="shared" ca="1" si="70"/>
        <v>Luxo</v>
      </c>
      <c r="N158" s="2">
        <f t="shared" ca="1" si="71"/>
        <v>2022</v>
      </c>
      <c r="O158" s="2" t="str">
        <f t="shared" ca="1" si="72"/>
        <v>Loja</v>
      </c>
      <c r="P158" s="2" t="str">
        <f t="shared" ca="1" si="73"/>
        <v>Norte</v>
      </c>
      <c r="Q158" s="2" t="str">
        <f t="shared" ca="1" si="74"/>
        <v>AM</v>
      </c>
      <c r="R158" s="2" t="str">
        <f t="shared" ca="1" si="75"/>
        <v>Manaus</v>
      </c>
      <c r="S158" s="8">
        <f t="shared" ca="1" si="76"/>
        <v>2</v>
      </c>
      <c r="T158" s="10">
        <f t="shared" ca="1" si="77"/>
        <v>210278</v>
      </c>
      <c r="U158" s="10">
        <f t="shared" ca="1" si="78"/>
        <v>155605.72</v>
      </c>
      <c r="V158" s="10">
        <f t="shared" ca="1" si="79"/>
        <v>420556</v>
      </c>
      <c r="W158" s="10">
        <f t="shared" ca="1" si="80"/>
        <v>311211.44</v>
      </c>
      <c r="X158" s="10">
        <f t="shared" ca="1" si="81"/>
        <v>109344.56</v>
      </c>
      <c r="Y158" s="12">
        <f t="shared" ca="1" si="82"/>
        <v>0.26</v>
      </c>
      <c r="Z158" s="2" t="str">
        <f t="shared" ca="1" si="83"/>
        <v>Cancelada</v>
      </c>
      <c r="AA158" s="8">
        <f t="shared" ca="1" si="84"/>
        <v>9</v>
      </c>
      <c r="AB158" s="2">
        <f t="shared" ca="1" si="85"/>
        <v>10</v>
      </c>
      <c r="AC158" s="2">
        <f t="shared" ca="1" si="86"/>
        <v>3</v>
      </c>
    </row>
    <row r="159" spans="1:29" x14ac:dyDescent="0.25">
      <c r="A159" s="14" t="str">
        <f t="shared" si="58"/>
        <v>VND-00159</v>
      </c>
      <c r="B159" s="5">
        <f t="shared" ca="1" si="59"/>
        <v>45507</v>
      </c>
      <c r="C159" s="2">
        <f t="shared" ca="1" si="60"/>
        <v>2024</v>
      </c>
      <c r="D159" s="2" t="str">
        <f t="shared" ca="1" si="61"/>
        <v>agosto</v>
      </c>
      <c r="E159" s="2" t="str">
        <f t="shared" ca="1" si="62"/>
        <v>2024/08</v>
      </c>
      <c r="F159" s="14" t="str">
        <f t="shared" ca="1" si="63"/>
        <v>CLI-4932</v>
      </c>
      <c r="G159" s="2" t="str">
        <f t="shared" ca="1" si="64"/>
        <v>Lucas</v>
      </c>
      <c r="H159" s="2" t="str">
        <f t="shared" ca="1" si="65"/>
        <v>Recorrente</v>
      </c>
      <c r="I159" s="2" t="str">
        <f t="shared" ca="1" si="66"/>
        <v>Rafael</v>
      </c>
      <c r="J159" s="14" t="str">
        <f t="shared" ca="1" si="67"/>
        <v>VCL-6822</v>
      </c>
      <c r="K159" s="2" t="str">
        <f t="shared" ca="1" si="68"/>
        <v>Corolla</v>
      </c>
      <c r="L159" s="2" t="str">
        <f t="shared" ca="1" si="69"/>
        <v>Toyota</v>
      </c>
      <c r="M159" s="2" t="str">
        <f t="shared" ca="1" si="70"/>
        <v>SUV</v>
      </c>
      <c r="N159" s="2">
        <f t="shared" ca="1" si="71"/>
        <v>2023</v>
      </c>
      <c r="O159" s="2" t="str">
        <f t="shared" ca="1" si="72"/>
        <v>Loja</v>
      </c>
      <c r="P159" s="2" t="str">
        <f t="shared" ca="1" si="73"/>
        <v>Sul</v>
      </c>
      <c r="Q159" s="2" t="str">
        <f t="shared" ca="1" si="74"/>
        <v>PR</v>
      </c>
      <c r="R159" s="2" t="str">
        <f t="shared" ca="1" si="75"/>
        <v>Cascavel</v>
      </c>
      <c r="S159" s="8">
        <f t="shared" ca="1" si="76"/>
        <v>9</v>
      </c>
      <c r="T159" s="10">
        <f t="shared" ca="1" si="77"/>
        <v>97345</v>
      </c>
      <c r="U159" s="10">
        <f t="shared" ca="1" si="78"/>
        <v>81769.8</v>
      </c>
      <c r="V159" s="10">
        <f t="shared" ca="1" si="79"/>
        <v>876105</v>
      </c>
      <c r="W159" s="10">
        <f t="shared" ca="1" si="80"/>
        <v>735928.20000000007</v>
      </c>
      <c r="X159" s="10">
        <f t="shared" ca="1" si="81"/>
        <v>140176.79999999993</v>
      </c>
      <c r="Y159" s="12">
        <f t="shared" ca="1" si="82"/>
        <v>0.15999999999999992</v>
      </c>
      <c r="Z159" s="2" t="str">
        <f t="shared" ca="1" si="83"/>
        <v>Concluída</v>
      </c>
      <c r="AA159" s="8">
        <f t="shared" ca="1" si="84"/>
        <v>7</v>
      </c>
      <c r="AB159" s="2">
        <f t="shared" ca="1" si="85"/>
        <v>14</v>
      </c>
      <c r="AC159" s="2">
        <f t="shared" ca="1" si="86"/>
        <v>7</v>
      </c>
    </row>
    <row r="160" spans="1:29" x14ac:dyDescent="0.25">
      <c r="A160" s="14" t="str">
        <f t="shared" si="58"/>
        <v>VND-00160</v>
      </c>
      <c r="B160" s="5">
        <f t="shared" ca="1" si="59"/>
        <v>44991</v>
      </c>
      <c r="C160" s="2">
        <f t="shared" ca="1" si="60"/>
        <v>2023</v>
      </c>
      <c r="D160" s="2" t="str">
        <f t="shared" ca="1" si="61"/>
        <v>março</v>
      </c>
      <c r="E160" s="2" t="str">
        <f t="shared" ca="1" si="62"/>
        <v>2023/03</v>
      </c>
      <c r="F160" s="14" t="str">
        <f t="shared" ca="1" si="63"/>
        <v>CLI-5606</v>
      </c>
      <c r="G160" s="2" t="str">
        <f t="shared" ca="1" si="64"/>
        <v>João</v>
      </c>
      <c r="H160" s="2" t="str">
        <f t="shared" ca="1" si="65"/>
        <v>Novo</v>
      </c>
      <c r="I160" s="2" t="str">
        <f t="shared" ca="1" si="66"/>
        <v>Marcos</v>
      </c>
      <c r="J160" s="14" t="str">
        <f t="shared" ca="1" si="67"/>
        <v>VCL-8535</v>
      </c>
      <c r="K160" s="2" t="str">
        <f t="shared" ca="1" si="68"/>
        <v>BMW X1</v>
      </c>
      <c r="L160" s="2" t="str">
        <f t="shared" ca="1" si="69"/>
        <v>BMW</v>
      </c>
      <c r="M160" s="2" t="str">
        <f t="shared" ca="1" si="70"/>
        <v>Luxo</v>
      </c>
      <c r="N160" s="2">
        <f t="shared" ca="1" si="71"/>
        <v>2016</v>
      </c>
      <c r="O160" s="2" t="str">
        <f t="shared" ca="1" si="72"/>
        <v>Online</v>
      </c>
      <c r="P160" s="2" t="str">
        <f t="shared" ca="1" si="73"/>
        <v>Sul</v>
      </c>
      <c r="Q160" s="2" t="str">
        <f t="shared" ca="1" si="74"/>
        <v>PR</v>
      </c>
      <c r="R160" s="2" t="str">
        <f t="shared" ca="1" si="75"/>
        <v>Cascavel</v>
      </c>
      <c r="S160" s="8">
        <f t="shared" ca="1" si="76"/>
        <v>3</v>
      </c>
      <c r="T160" s="10">
        <f t="shared" ca="1" si="77"/>
        <v>97369</v>
      </c>
      <c r="U160" s="10">
        <f t="shared" ca="1" si="78"/>
        <v>78868.89</v>
      </c>
      <c r="V160" s="10">
        <f t="shared" ca="1" si="79"/>
        <v>292107</v>
      </c>
      <c r="W160" s="10">
        <f t="shared" ca="1" si="80"/>
        <v>236606.66999999998</v>
      </c>
      <c r="X160" s="10">
        <f t="shared" ca="1" si="81"/>
        <v>55500.330000000016</v>
      </c>
      <c r="Y160" s="12">
        <f t="shared" ca="1" si="82"/>
        <v>0.19000000000000006</v>
      </c>
      <c r="Z160" s="2" t="str">
        <f t="shared" ca="1" si="83"/>
        <v>Cancelada</v>
      </c>
      <c r="AA160" s="8">
        <f t="shared" ca="1" si="84"/>
        <v>26</v>
      </c>
      <c r="AB160" s="2">
        <f t="shared" ca="1" si="85"/>
        <v>9</v>
      </c>
      <c r="AC160" s="2">
        <f t="shared" ca="1" si="86"/>
        <v>3</v>
      </c>
    </row>
    <row r="161" spans="1:29" x14ac:dyDescent="0.25">
      <c r="A161" s="14" t="str">
        <f t="shared" si="58"/>
        <v>VND-00161</v>
      </c>
      <c r="B161" s="5">
        <f t="shared" ca="1" si="59"/>
        <v>45300</v>
      </c>
      <c r="C161" s="2">
        <f t="shared" ca="1" si="60"/>
        <v>2024</v>
      </c>
      <c r="D161" s="2" t="str">
        <f t="shared" ca="1" si="61"/>
        <v>janeiro</v>
      </c>
      <c r="E161" s="2" t="str">
        <f t="shared" ca="1" si="62"/>
        <v>2024/01</v>
      </c>
      <c r="F161" s="14" t="str">
        <f t="shared" ca="1" si="63"/>
        <v>CLI-9126</v>
      </c>
      <c r="G161" s="2" t="str">
        <f t="shared" ca="1" si="64"/>
        <v>Rafael</v>
      </c>
      <c r="H161" s="2" t="str">
        <f t="shared" ca="1" si="65"/>
        <v>Recorrente</v>
      </c>
      <c r="I161" s="2" t="str">
        <f t="shared" ca="1" si="66"/>
        <v>Felipe</v>
      </c>
      <c r="J161" s="14" t="str">
        <f t="shared" ca="1" si="67"/>
        <v>VCL-4047</v>
      </c>
      <c r="K161" s="2" t="str">
        <f t="shared" ca="1" si="68"/>
        <v>HB20</v>
      </c>
      <c r="L161" s="2" t="str">
        <f t="shared" ca="1" si="69"/>
        <v>Hyundai</v>
      </c>
      <c r="M161" s="2" t="str">
        <f t="shared" ca="1" si="70"/>
        <v>Popular</v>
      </c>
      <c r="N161" s="2">
        <f t="shared" ca="1" si="71"/>
        <v>2018</v>
      </c>
      <c r="O161" s="2" t="str">
        <f t="shared" ca="1" si="72"/>
        <v>Loja</v>
      </c>
      <c r="P161" s="2" t="str">
        <f t="shared" ca="1" si="73"/>
        <v>Norte</v>
      </c>
      <c r="Q161" s="2" t="str">
        <f t="shared" ca="1" si="74"/>
        <v>PA</v>
      </c>
      <c r="R161" s="2" t="str">
        <f t="shared" ca="1" si="75"/>
        <v>Ananindeua</v>
      </c>
      <c r="S161" s="8">
        <f t="shared" ca="1" si="76"/>
        <v>6</v>
      </c>
      <c r="T161" s="10">
        <f t="shared" ca="1" si="77"/>
        <v>78251</v>
      </c>
      <c r="U161" s="10">
        <f t="shared" ca="1" si="78"/>
        <v>64948.329999999994</v>
      </c>
      <c r="V161" s="10">
        <f t="shared" ca="1" si="79"/>
        <v>469506</v>
      </c>
      <c r="W161" s="10">
        <f t="shared" ca="1" si="80"/>
        <v>389689.98</v>
      </c>
      <c r="X161" s="10">
        <f t="shared" ca="1" si="81"/>
        <v>79816.020000000019</v>
      </c>
      <c r="Y161" s="12">
        <f t="shared" ca="1" si="82"/>
        <v>0.17000000000000004</v>
      </c>
      <c r="Z161" s="2" t="str">
        <f t="shared" ca="1" si="83"/>
        <v>Cancelada</v>
      </c>
      <c r="AA161" s="8">
        <f t="shared" ca="1" si="84"/>
        <v>7</v>
      </c>
      <c r="AB161" s="2">
        <f t="shared" ca="1" si="85"/>
        <v>26</v>
      </c>
      <c r="AC161" s="2">
        <f t="shared" ca="1" si="86"/>
        <v>10</v>
      </c>
    </row>
    <row r="162" spans="1:29" x14ac:dyDescent="0.25">
      <c r="A162" s="14" t="str">
        <f t="shared" si="58"/>
        <v>VND-00162</v>
      </c>
      <c r="B162" s="5">
        <f t="shared" ca="1" si="59"/>
        <v>45341</v>
      </c>
      <c r="C162" s="2">
        <f t="shared" ca="1" si="60"/>
        <v>2024</v>
      </c>
      <c r="D162" s="2" t="str">
        <f t="shared" ca="1" si="61"/>
        <v>fevereiro</v>
      </c>
      <c r="E162" s="2" t="str">
        <f t="shared" ca="1" si="62"/>
        <v>2024/02</v>
      </c>
      <c r="F162" s="14" t="str">
        <f t="shared" ca="1" si="63"/>
        <v>CLI-1714</v>
      </c>
      <c r="G162" s="2" t="str">
        <f t="shared" ca="1" si="64"/>
        <v>Lucas</v>
      </c>
      <c r="H162" s="2" t="str">
        <f t="shared" ca="1" si="65"/>
        <v>Recorrente</v>
      </c>
      <c r="I162" s="2" t="str">
        <f t="shared" ca="1" si="66"/>
        <v>Pedro</v>
      </c>
      <c r="J162" s="14" t="str">
        <f t="shared" ca="1" si="67"/>
        <v>VCL-2085</v>
      </c>
      <c r="K162" s="2" t="str">
        <f t="shared" ca="1" si="68"/>
        <v>Corolla</v>
      </c>
      <c r="L162" s="2" t="str">
        <f t="shared" ca="1" si="69"/>
        <v>Toyota</v>
      </c>
      <c r="M162" s="2" t="str">
        <f t="shared" ca="1" si="70"/>
        <v>SUV</v>
      </c>
      <c r="N162" s="2">
        <f t="shared" ca="1" si="71"/>
        <v>2023</v>
      </c>
      <c r="O162" s="2" t="str">
        <f t="shared" ca="1" si="72"/>
        <v>Online</v>
      </c>
      <c r="P162" s="2" t="str">
        <f t="shared" ca="1" si="73"/>
        <v>Sudeste</v>
      </c>
      <c r="Q162" s="2" t="str">
        <f t="shared" ca="1" si="74"/>
        <v>MG</v>
      </c>
      <c r="R162" s="2" t="str">
        <f t="shared" ca="1" si="75"/>
        <v>Contagem</v>
      </c>
      <c r="S162" s="8">
        <f t="shared" ca="1" si="76"/>
        <v>1</v>
      </c>
      <c r="T162" s="10">
        <f t="shared" ca="1" si="77"/>
        <v>145249</v>
      </c>
      <c r="U162" s="10">
        <f t="shared" ca="1" si="78"/>
        <v>120556.67</v>
      </c>
      <c r="V162" s="10">
        <f t="shared" ca="1" si="79"/>
        <v>145249</v>
      </c>
      <c r="W162" s="10">
        <f t="shared" ca="1" si="80"/>
        <v>120556.67</v>
      </c>
      <c r="X162" s="10">
        <f t="shared" ca="1" si="81"/>
        <v>24692.33</v>
      </c>
      <c r="Y162" s="12">
        <f t="shared" ca="1" si="82"/>
        <v>0.17</v>
      </c>
      <c r="Z162" s="2" t="str">
        <f t="shared" ca="1" si="83"/>
        <v>Em negociação</v>
      </c>
      <c r="AA162" s="8">
        <f t="shared" ca="1" si="84"/>
        <v>4</v>
      </c>
      <c r="AB162" s="2">
        <f t="shared" ca="1" si="85"/>
        <v>14</v>
      </c>
      <c r="AC162" s="2">
        <f t="shared" ca="1" si="86"/>
        <v>7</v>
      </c>
    </row>
    <row r="163" spans="1:29" x14ac:dyDescent="0.25">
      <c r="A163" s="14" t="str">
        <f t="shared" si="58"/>
        <v>VND-00163</v>
      </c>
      <c r="B163" s="5">
        <f t="shared" ca="1" si="59"/>
        <v>45641</v>
      </c>
      <c r="C163" s="2">
        <f t="shared" ca="1" si="60"/>
        <v>2024</v>
      </c>
      <c r="D163" s="2" t="str">
        <f t="shared" ca="1" si="61"/>
        <v>dezembro</v>
      </c>
      <c r="E163" s="2" t="str">
        <f t="shared" ca="1" si="62"/>
        <v>2024/12</v>
      </c>
      <c r="F163" s="14" t="str">
        <f t="shared" ca="1" si="63"/>
        <v>CLI-7490</v>
      </c>
      <c r="G163" s="2" t="str">
        <f t="shared" ca="1" si="64"/>
        <v>João</v>
      </c>
      <c r="H163" s="2" t="str">
        <f t="shared" ca="1" si="65"/>
        <v>Novo</v>
      </c>
      <c r="I163" s="2" t="str">
        <f t="shared" ca="1" si="66"/>
        <v>Ricardo</v>
      </c>
      <c r="J163" s="14" t="str">
        <f t="shared" ca="1" si="67"/>
        <v>VCL-4938</v>
      </c>
      <c r="K163" s="2" t="str">
        <f t="shared" ca="1" si="68"/>
        <v>Corolla</v>
      </c>
      <c r="L163" s="2" t="str">
        <f t="shared" ca="1" si="69"/>
        <v>Toyota</v>
      </c>
      <c r="M163" s="2" t="str">
        <f t="shared" ca="1" si="70"/>
        <v>SUV</v>
      </c>
      <c r="N163" s="2">
        <f t="shared" ca="1" si="71"/>
        <v>2024</v>
      </c>
      <c r="O163" s="2" t="str">
        <f t="shared" ca="1" si="72"/>
        <v>Loja</v>
      </c>
      <c r="P163" s="2" t="str">
        <f t="shared" ca="1" si="73"/>
        <v>Norte</v>
      </c>
      <c r="Q163" s="2" t="str">
        <f t="shared" ca="1" si="74"/>
        <v>PA</v>
      </c>
      <c r="R163" s="2" t="str">
        <f t="shared" ca="1" si="75"/>
        <v>Castanhal</v>
      </c>
      <c r="S163" s="8">
        <f t="shared" ca="1" si="76"/>
        <v>8</v>
      </c>
      <c r="T163" s="10">
        <f t="shared" ca="1" si="77"/>
        <v>97704</v>
      </c>
      <c r="U163" s="10">
        <f t="shared" ca="1" si="78"/>
        <v>79140.240000000005</v>
      </c>
      <c r="V163" s="10">
        <f t="shared" ca="1" si="79"/>
        <v>781632</v>
      </c>
      <c r="W163" s="10">
        <f t="shared" ca="1" si="80"/>
        <v>633121.92000000004</v>
      </c>
      <c r="X163" s="10">
        <f t="shared" ca="1" si="81"/>
        <v>148510.07999999996</v>
      </c>
      <c r="Y163" s="12">
        <f t="shared" ca="1" si="82"/>
        <v>0.18999999999999995</v>
      </c>
      <c r="Z163" s="2" t="str">
        <f t="shared" ca="1" si="83"/>
        <v>Em negociação</v>
      </c>
      <c r="AA163" s="8">
        <f t="shared" ca="1" si="84"/>
        <v>30</v>
      </c>
      <c r="AB163" s="2">
        <f t="shared" ca="1" si="85"/>
        <v>9</v>
      </c>
      <c r="AC163" s="2">
        <f t="shared" ca="1" si="86"/>
        <v>7</v>
      </c>
    </row>
    <row r="164" spans="1:29" x14ac:dyDescent="0.25">
      <c r="A164" s="14" t="str">
        <f t="shared" si="58"/>
        <v>VND-00164</v>
      </c>
      <c r="B164" s="5">
        <f t="shared" ca="1" si="59"/>
        <v>45288</v>
      </c>
      <c r="C164" s="2">
        <f t="shared" ca="1" si="60"/>
        <v>2023</v>
      </c>
      <c r="D164" s="2" t="str">
        <f t="shared" ca="1" si="61"/>
        <v>dezembro</v>
      </c>
      <c r="E164" s="2" t="str">
        <f t="shared" ca="1" si="62"/>
        <v>2023/12</v>
      </c>
      <c r="F164" s="14" t="str">
        <f t="shared" ca="1" si="63"/>
        <v>CLI-4484</v>
      </c>
      <c r="G164" s="2" t="str">
        <f t="shared" ca="1" si="64"/>
        <v>Carlos</v>
      </c>
      <c r="H164" s="2" t="str">
        <f t="shared" ca="1" si="65"/>
        <v>Recorrente</v>
      </c>
      <c r="I164" s="2" t="str">
        <f t="shared" ca="1" si="66"/>
        <v>Roberto</v>
      </c>
      <c r="J164" s="14" t="str">
        <f t="shared" ca="1" si="67"/>
        <v>VCL-9620</v>
      </c>
      <c r="K164" s="2" t="str">
        <f t="shared" ca="1" si="68"/>
        <v>Compass</v>
      </c>
      <c r="L164" s="2" t="str">
        <f t="shared" ca="1" si="69"/>
        <v>Jeep</v>
      </c>
      <c r="M164" s="2" t="str">
        <f t="shared" ca="1" si="70"/>
        <v>SUV</v>
      </c>
      <c r="N164" s="2">
        <f t="shared" ca="1" si="71"/>
        <v>2021</v>
      </c>
      <c r="O164" s="2" t="str">
        <f t="shared" ca="1" si="72"/>
        <v>Online</v>
      </c>
      <c r="P164" s="2" t="str">
        <f t="shared" ca="1" si="73"/>
        <v>Nordeste</v>
      </c>
      <c r="Q164" s="2" t="str">
        <f t="shared" ca="1" si="74"/>
        <v>BA</v>
      </c>
      <c r="R164" s="2" t="str">
        <f t="shared" ca="1" si="75"/>
        <v>Ilhéus</v>
      </c>
      <c r="S164" s="8">
        <f t="shared" ca="1" si="76"/>
        <v>6</v>
      </c>
      <c r="T164" s="10">
        <f t="shared" ca="1" si="77"/>
        <v>241831</v>
      </c>
      <c r="U164" s="10">
        <f t="shared" ca="1" si="78"/>
        <v>195883.11000000002</v>
      </c>
      <c r="V164" s="10">
        <f t="shared" ca="1" si="79"/>
        <v>1450986</v>
      </c>
      <c r="W164" s="10">
        <f t="shared" ca="1" si="80"/>
        <v>1175298.6600000001</v>
      </c>
      <c r="X164" s="10">
        <f t="shared" ca="1" si="81"/>
        <v>275687.33999999985</v>
      </c>
      <c r="Y164" s="12">
        <f t="shared" ca="1" si="82"/>
        <v>0.18999999999999989</v>
      </c>
      <c r="Z164" s="2" t="str">
        <f t="shared" ca="1" si="83"/>
        <v>Concluída</v>
      </c>
      <c r="AA164" s="8">
        <f t="shared" ca="1" si="84"/>
        <v>24</v>
      </c>
      <c r="AB164" s="2">
        <f t="shared" ca="1" si="85"/>
        <v>17</v>
      </c>
      <c r="AC164" s="2">
        <f t="shared" ca="1" si="86"/>
        <v>7</v>
      </c>
    </row>
    <row r="165" spans="1:29" x14ac:dyDescent="0.25">
      <c r="A165" s="14" t="str">
        <f t="shared" si="58"/>
        <v>VND-00165</v>
      </c>
      <c r="B165" s="5">
        <f t="shared" ca="1" si="59"/>
        <v>45080</v>
      </c>
      <c r="C165" s="2">
        <f t="shared" ca="1" si="60"/>
        <v>2023</v>
      </c>
      <c r="D165" s="2" t="str">
        <f t="shared" ca="1" si="61"/>
        <v>junho</v>
      </c>
      <c r="E165" s="2" t="str">
        <f t="shared" ca="1" si="62"/>
        <v>2023/06</v>
      </c>
      <c r="F165" s="14" t="str">
        <f t="shared" ca="1" si="63"/>
        <v>CLI-8886</v>
      </c>
      <c r="G165" s="2" t="str">
        <f t="shared" ca="1" si="64"/>
        <v>Juliana</v>
      </c>
      <c r="H165" s="2" t="str">
        <f t="shared" ca="1" si="65"/>
        <v>Novo</v>
      </c>
      <c r="I165" s="2" t="str">
        <f t="shared" ca="1" si="66"/>
        <v>João</v>
      </c>
      <c r="J165" s="14" t="str">
        <f t="shared" ca="1" si="67"/>
        <v>VCL-4558</v>
      </c>
      <c r="K165" s="2" t="str">
        <f t="shared" ca="1" si="68"/>
        <v>Civic</v>
      </c>
      <c r="L165" s="2" t="str">
        <f t="shared" ca="1" si="69"/>
        <v>Honda</v>
      </c>
      <c r="M165" s="2" t="str">
        <f t="shared" ca="1" si="70"/>
        <v>SUV</v>
      </c>
      <c r="N165" s="2">
        <f t="shared" ca="1" si="71"/>
        <v>2024</v>
      </c>
      <c r="O165" s="2" t="str">
        <f t="shared" ca="1" si="72"/>
        <v>Loja</v>
      </c>
      <c r="P165" s="2" t="str">
        <f t="shared" ca="1" si="73"/>
        <v>Sudeste</v>
      </c>
      <c r="Q165" s="2" t="str">
        <f t="shared" ca="1" si="74"/>
        <v>ES</v>
      </c>
      <c r="R165" s="2" t="str">
        <f t="shared" ca="1" si="75"/>
        <v>Vila Velha</v>
      </c>
      <c r="S165" s="8">
        <f t="shared" ca="1" si="76"/>
        <v>3</v>
      </c>
      <c r="T165" s="10">
        <f t="shared" ca="1" si="77"/>
        <v>70189</v>
      </c>
      <c r="U165" s="10">
        <f t="shared" ca="1" si="78"/>
        <v>56151.200000000004</v>
      </c>
      <c r="V165" s="10">
        <f t="shared" ca="1" si="79"/>
        <v>210567</v>
      </c>
      <c r="W165" s="10">
        <f t="shared" ca="1" si="80"/>
        <v>168453.6</v>
      </c>
      <c r="X165" s="10">
        <f t="shared" ca="1" si="81"/>
        <v>42113.399999999994</v>
      </c>
      <c r="Y165" s="12">
        <f t="shared" ca="1" si="82"/>
        <v>0.19999999999999998</v>
      </c>
      <c r="Z165" s="2" t="str">
        <f t="shared" ca="1" si="83"/>
        <v>Cancelada</v>
      </c>
      <c r="AA165" s="8">
        <f t="shared" ca="1" si="84"/>
        <v>5</v>
      </c>
      <c r="AB165" s="2">
        <f t="shared" ca="1" si="85"/>
        <v>13</v>
      </c>
      <c r="AC165" s="2">
        <f t="shared" ca="1" si="86"/>
        <v>7</v>
      </c>
    </row>
    <row r="166" spans="1:29" x14ac:dyDescent="0.25">
      <c r="A166" s="14" t="str">
        <f t="shared" si="58"/>
        <v>VND-00166</v>
      </c>
      <c r="B166" s="5">
        <f t="shared" ca="1" si="59"/>
        <v>45572</v>
      </c>
      <c r="C166" s="2">
        <f t="shared" ca="1" si="60"/>
        <v>2024</v>
      </c>
      <c r="D166" s="2" t="str">
        <f t="shared" ca="1" si="61"/>
        <v>outubro</v>
      </c>
      <c r="E166" s="2" t="str">
        <f t="shared" ca="1" si="62"/>
        <v>2024/10</v>
      </c>
      <c r="F166" s="14" t="str">
        <f t="shared" ca="1" si="63"/>
        <v>CLI-5645</v>
      </c>
      <c r="G166" s="2" t="str">
        <f t="shared" ca="1" si="64"/>
        <v>Ana</v>
      </c>
      <c r="H166" s="2" t="str">
        <f t="shared" ca="1" si="65"/>
        <v>Novo</v>
      </c>
      <c r="I166" s="2" t="str">
        <f t="shared" ca="1" si="66"/>
        <v>Larissa</v>
      </c>
      <c r="J166" s="14" t="str">
        <f t="shared" ca="1" si="67"/>
        <v>VCL-1125</v>
      </c>
      <c r="K166" s="2" t="str">
        <f t="shared" ca="1" si="68"/>
        <v>BMW X1</v>
      </c>
      <c r="L166" s="2" t="str">
        <f t="shared" ca="1" si="69"/>
        <v>BMW</v>
      </c>
      <c r="M166" s="2" t="str">
        <f t="shared" ca="1" si="70"/>
        <v>Luxo</v>
      </c>
      <c r="N166" s="2">
        <f t="shared" ca="1" si="71"/>
        <v>2024</v>
      </c>
      <c r="O166" s="2" t="str">
        <f t="shared" ca="1" si="72"/>
        <v>Online</v>
      </c>
      <c r="P166" s="2" t="str">
        <f t="shared" ca="1" si="73"/>
        <v>Centro-Oeste</v>
      </c>
      <c r="Q166" s="2" t="str">
        <f t="shared" ca="1" si="74"/>
        <v>GO</v>
      </c>
      <c r="R166" s="2" t="str">
        <f t="shared" ca="1" si="75"/>
        <v>Aparecida de Goiânia</v>
      </c>
      <c r="S166" s="8">
        <f t="shared" ca="1" si="76"/>
        <v>3</v>
      </c>
      <c r="T166" s="10">
        <f t="shared" ca="1" si="77"/>
        <v>126261</v>
      </c>
      <c r="U166" s="10">
        <f t="shared" ca="1" si="78"/>
        <v>99746.19</v>
      </c>
      <c r="V166" s="10">
        <f t="shared" ca="1" si="79"/>
        <v>378783</v>
      </c>
      <c r="W166" s="10">
        <f t="shared" ca="1" si="80"/>
        <v>299238.57</v>
      </c>
      <c r="X166" s="10">
        <f t="shared" ca="1" si="81"/>
        <v>79544.429999999993</v>
      </c>
      <c r="Y166" s="12">
        <f t="shared" ca="1" si="82"/>
        <v>0.21</v>
      </c>
      <c r="Z166" s="2" t="str">
        <f t="shared" ca="1" si="83"/>
        <v>Cancelada</v>
      </c>
      <c r="AA166" s="8">
        <f t="shared" ca="1" si="84"/>
        <v>16</v>
      </c>
      <c r="AB166" s="2">
        <f t="shared" ca="1" si="85"/>
        <v>7</v>
      </c>
      <c r="AC166" s="2">
        <f t="shared" ca="1" si="86"/>
        <v>3</v>
      </c>
    </row>
    <row r="167" spans="1:29" x14ac:dyDescent="0.25">
      <c r="A167" s="14" t="str">
        <f t="shared" si="58"/>
        <v>VND-00167</v>
      </c>
      <c r="B167" s="5">
        <f t="shared" ca="1" si="59"/>
        <v>45832</v>
      </c>
      <c r="C167" s="2">
        <f t="shared" ca="1" si="60"/>
        <v>2025</v>
      </c>
      <c r="D167" s="2" t="str">
        <f t="shared" ca="1" si="61"/>
        <v>junho</v>
      </c>
      <c r="E167" s="2" t="str">
        <f t="shared" ca="1" si="62"/>
        <v>2025/06</v>
      </c>
      <c r="F167" s="14" t="str">
        <f t="shared" ca="1" si="63"/>
        <v>CLI-9408</v>
      </c>
      <c r="G167" s="2" t="str">
        <f t="shared" ca="1" si="64"/>
        <v>Maria</v>
      </c>
      <c r="H167" s="2" t="str">
        <f t="shared" ca="1" si="65"/>
        <v>Recorrente</v>
      </c>
      <c r="I167" s="2" t="str">
        <f t="shared" ca="1" si="66"/>
        <v>Ricardo</v>
      </c>
      <c r="J167" s="14" t="str">
        <f t="shared" ca="1" si="67"/>
        <v>VCL-5778</v>
      </c>
      <c r="K167" s="2" t="str">
        <f t="shared" ca="1" si="68"/>
        <v>HB20</v>
      </c>
      <c r="L167" s="2" t="str">
        <f t="shared" ca="1" si="69"/>
        <v>Hyundai</v>
      </c>
      <c r="M167" s="2" t="str">
        <f t="shared" ca="1" si="70"/>
        <v>Popular</v>
      </c>
      <c r="N167" s="2">
        <f t="shared" ca="1" si="71"/>
        <v>2024</v>
      </c>
      <c r="O167" s="2" t="str">
        <f t="shared" ca="1" si="72"/>
        <v>Loja</v>
      </c>
      <c r="P167" s="2" t="str">
        <f t="shared" ca="1" si="73"/>
        <v>Norte</v>
      </c>
      <c r="Q167" s="2" t="str">
        <f t="shared" ca="1" si="74"/>
        <v>PA</v>
      </c>
      <c r="R167" s="2" t="str">
        <f t="shared" ca="1" si="75"/>
        <v>Ananindeua</v>
      </c>
      <c r="S167" s="8">
        <f t="shared" ca="1" si="76"/>
        <v>1</v>
      </c>
      <c r="T167" s="10">
        <f t="shared" ca="1" si="77"/>
        <v>142872</v>
      </c>
      <c r="U167" s="10">
        <f t="shared" ca="1" si="78"/>
        <v>104296.56</v>
      </c>
      <c r="V167" s="10">
        <f t="shared" ca="1" si="79"/>
        <v>142872</v>
      </c>
      <c r="W167" s="10">
        <f t="shared" ca="1" si="80"/>
        <v>104296.56</v>
      </c>
      <c r="X167" s="10">
        <f t="shared" ca="1" si="81"/>
        <v>38575.440000000002</v>
      </c>
      <c r="Y167" s="12">
        <f t="shared" ca="1" si="82"/>
        <v>0.27</v>
      </c>
      <c r="Z167" s="2" t="str">
        <f t="shared" ca="1" si="83"/>
        <v>Em negociação</v>
      </c>
      <c r="AA167" s="8">
        <f t="shared" ca="1" si="84"/>
        <v>26</v>
      </c>
      <c r="AB167" s="2">
        <f t="shared" ca="1" si="85"/>
        <v>15</v>
      </c>
      <c r="AC167" s="2">
        <f t="shared" ca="1" si="86"/>
        <v>10</v>
      </c>
    </row>
    <row r="168" spans="1:29" x14ac:dyDescent="0.25">
      <c r="A168" s="14" t="str">
        <f t="shared" si="58"/>
        <v>VND-00168</v>
      </c>
      <c r="B168" s="5">
        <f t="shared" ca="1" si="59"/>
        <v>44934</v>
      </c>
      <c r="C168" s="2">
        <f t="shared" ca="1" si="60"/>
        <v>2023</v>
      </c>
      <c r="D168" s="2" t="str">
        <f t="shared" ca="1" si="61"/>
        <v>janeiro</v>
      </c>
      <c r="E168" s="2" t="str">
        <f t="shared" ca="1" si="62"/>
        <v>2023/01</v>
      </c>
      <c r="F168" s="14" t="str">
        <f t="shared" ca="1" si="63"/>
        <v>CLI-5264</v>
      </c>
      <c r="G168" s="2" t="str">
        <f t="shared" ca="1" si="64"/>
        <v>Lucas</v>
      </c>
      <c r="H168" s="2" t="str">
        <f t="shared" ca="1" si="65"/>
        <v>Novo</v>
      </c>
      <c r="I168" s="2" t="str">
        <f t="shared" ca="1" si="66"/>
        <v>Tatiane</v>
      </c>
      <c r="J168" s="14" t="str">
        <f t="shared" ca="1" si="67"/>
        <v>VCL-2337</v>
      </c>
      <c r="K168" s="2" t="str">
        <f t="shared" ca="1" si="68"/>
        <v>Onix</v>
      </c>
      <c r="L168" s="2" t="str">
        <f t="shared" ca="1" si="69"/>
        <v>Chevrolet</v>
      </c>
      <c r="M168" s="2" t="str">
        <f t="shared" ca="1" si="70"/>
        <v>Popular</v>
      </c>
      <c r="N168" s="2">
        <f t="shared" ca="1" si="71"/>
        <v>2024</v>
      </c>
      <c r="O168" s="2" t="str">
        <f t="shared" ca="1" si="72"/>
        <v>Online</v>
      </c>
      <c r="P168" s="2" t="str">
        <f t="shared" ca="1" si="73"/>
        <v>Norte</v>
      </c>
      <c r="Q168" s="2" t="str">
        <f t="shared" ca="1" si="74"/>
        <v>AM</v>
      </c>
      <c r="R168" s="2" t="str">
        <f t="shared" ca="1" si="75"/>
        <v>Manaus</v>
      </c>
      <c r="S168" s="8">
        <f t="shared" ca="1" si="76"/>
        <v>9</v>
      </c>
      <c r="T168" s="10">
        <f t="shared" ca="1" si="77"/>
        <v>229618</v>
      </c>
      <c r="U168" s="10">
        <f t="shared" ca="1" si="78"/>
        <v>169917.32</v>
      </c>
      <c r="V168" s="10">
        <f t="shared" ca="1" si="79"/>
        <v>2066562</v>
      </c>
      <c r="W168" s="10">
        <f t="shared" ca="1" si="80"/>
        <v>1529255.8800000001</v>
      </c>
      <c r="X168" s="10">
        <f t="shared" ca="1" si="81"/>
        <v>537306.11999999988</v>
      </c>
      <c r="Y168" s="12">
        <f t="shared" ca="1" si="82"/>
        <v>0.25999999999999995</v>
      </c>
      <c r="Z168" s="2" t="str">
        <f t="shared" ca="1" si="83"/>
        <v>Em negociação</v>
      </c>
      <c r="AA168" s="8">
        <f t="shared" ca="1" si="84"/>
        <v>15</v>
      </c>
      <c r="AB168" s="2">
        <f t="shared" ca="1" si="85"/>
        <v>24</v>
      </c>
      <c r="AC168" s="2">
        <f t="shared" ca="1" si="86"/>
        <v>10</v>
      </c>
    </row>
    <row r="169" spans="1:29" x14ac:dyDescent="0.25">
      <c r="A169" s="14" t="str">
        <f t="shared" si="58"/>
        <v>VND-00169</v>
      </c>
      <c r="B169" s="5">
        <f t="shared" ca="1" si="59"/>
        <v>45819</v>
      </c>
      <c r="C169" s="2">
        <f t="shared" ca="1" si="60"/>
        <v>2025</v>
      </c>
      <c r="D169" s="2" t="str">
        <f t="shared" ca="1" si="61"/>
        <v>junho</v>
      </c>
      <c r="E169" s="2" t="str">
        <f t="shared" ca="1" si="62"/>
        <v>2025/06</v>
      </c>
      <c r="F169" s="14" t="str">
        <f t="shared" ca="1" si="63"/>
        <v>CLI-5080</v>
      </c>
      <c r="G169" s="2" t="str">
        <f t="shared" ca="1" si="64"/>
        <v>Rafael</v>
      </c>
      <c r="H169" s="2" t="str">
        <f t="shared" ca="1" si="65"/>
        <v>Novo</v>
      </c>
      <c r="I169" s="2" t="str">
        <f t="shared" ca="1" si="66"/>
        <v>Ana</v>
      </c>
      <c r="J169" s="14" t="str">
        <f t="shared" ca="1" si="67"/>
        <v>VCL-1453</v>
      </c>
      <c r="K169" s="2" t="str">
        <f t="shared" ca="1" si="68"/>
        <v>Civic</v>
      </c>
      <c r="L169" s="2" t="str">
        <f t="shared" ca="1" si="69"/>
        <v>Honda</v>
      </c>
      <c r="M169" s="2" t="str">
        <f t="shared" ca="1" si="70"/>
        <v>SUV</v>
      </c>
      <c r="N169" s="2">
        <f t="shared" ca="1" si="71"/>
        <v>2020</v>
      </c>
      <c r="O169" s="2" t="str">
        <f t="shared" ca="1" si="72"/>
        <v>Loja</v>
      </c>
      <c r="P169" s="2" t="str">
        <f t="shared" ca="1" si="73"/>
        <v>Sudeste</v>
      </c>
      <c r="Q169" s="2" t="str">
        <f t="shared" ca="1" si="74"/>
        <v>ES</v>
      </c>
      <c r="R169" s="2" t="str">
        <f t="shared" ca="1" si="75"/>
        <v>Serra</v>
      </c>
      <c r="S169" s="8">
        <f t="shared" ca="1" si="76"/>
        <v>7</v>
      </c>
      <c r="T169" s="10">
        <f t="shared" ca="1" si="77"/>
        <v>110756</v>
      </c>
      <c r="U169" s="10">
        <f t="shared" ca="1" si="78"/>
        <v>87497.24</v>
      </c>
      <c r="V169" s="10">
        <f t="shared" ca="1" si="79"/>
        <v>775292</v>
      </c>
      <c r="W169" s="10">
        <f t="shared" ca="1" si="80"/>
        <v>612480.68000000005</v>
      </c>
      <c r="X169" s="10">
        <f t="shared" ca="1" si="81"/>
        <v>162811.31999999995</v>
      </c>
      <c r="Y169" s="12">
        <f t="shared" ca="1" si="82"/>
        <v>0.20999999999999994</v>
      </c>
      <c r="Z169" s="2" t="str">
        <f t="shared" ca="1" si="83"/>
        <v>Concluída</v>
      </c>
      <c r="AA169" s="8">
        <f t="shared" ca="1" si="84"/>
        <v>1</v>
      </c>
      <c r="AB169" s="2">
        <f t="shared" ca="1" si="85"/>
        <v>5</v>
      </c>
      <c r="AC169" s="2">
        <f t="shared" ca="1" si="86"/>
        <v>7</v>
      </c>
    </row>
    <row r="170" spans="1:29" x14ac:dyDescent="0.25">
      <c r="A170" s="14" t="str">
        <f t="shared" si="58"/>
        <v>VND-00170</v>
      </c>
      <c r="B170" s="5">
        <f t="shared" ca="1" si="59"/>
        <v>45467</v>
      </c>
      <c r="C170" s="2">
        <f t="shared" ca="1" si="60"/>
        <v>2024</v>
      </c>
      <c r="D170" s="2" t="str">
        <f t="shared" ca="1" si="61"/>
        <v>junho</v>
      </c>
      <c r="E170" s="2" t="str">
        <f t="shared" ca="1" si="62"/>
        <v>2024/06</v>
      </c>
      <c r="F170" s="14" t="str">
        <f t="shared" ca="1" si="63"/>
        <v>CLI-5453</v>
      </c>
      <c r="G170" s="2" t="str">
        <f t="shared" ca="1" si="64"/>
        <v>Juliana</v>
      </c>
      <c r="H170" s="2" t="str">
        <f t="shared" ca="1" si="65"/>
        <v>Recorrente</v>
      </c>
      <c r="I170" s="2" t="str">
        <f t="shared" ca="1" si="66"/>
        <v>Carlos</v>
      </c>
      <c r="J170" s="14" t="str">
        <f t="shared" ca="1" si="67"/>
        <v>VCL-6891</v>
      </c>
      <c r="K170" s="2" t="str">
        <f t="shared" ca="1" si="68"/>
        <v>Corolla</v>
      </c>
      <c r="L170" s="2" t="str">
        <f t="shared" ca="1" si="69"/>
        <v>Toyota</v>
      </c>
      <c r="M170" s="2" t="str">
        <f t="shared" ca="1" si="70"/>
        <v>SUV</v>
      </c>
      <c r="N170" s="2">
        <f t="shared" ca="1" si="71"/>
        <v>2019</v>
      </c>
      <c r="O170" s="2" t="str">
        <f t="shared" ca="1" si="72"/>
        <v>Loja</v>
      </c>
      <c r="P170" s="2" t="str">
        <f t="shared" ca="1" si="73"/>
        <v>Norte</v>
      </c>
      <c r="Q170" s="2" t="str">
        <f t="shared" ca="1" si="74"/>
        <v>PA</v>
      </c>
      <c r="R170" s="2" t="str">
        <f t="shared" ca="1" si="75"/>
        <v>Santarém</v>
      </c>
      <c r="S170" s="8">
        <f t="shared" ca="1" si="76"/>
        <v>9</v>
      </c>
      <c r="T170" s="10">
        <f t="shared" ca="1" si="77"/>
        <v>147329</v>
      </c>
      <c r="U170" s="10">
        <f t="shared" ca="1" si="78"/>
        <v>109023.45999999999</v>
      </c>
      <c r="V170" s="10">
        <f t="shared" ca="1" si="79"/>
        <v>1325961</v>
      </c>
      <c r="W170" s="10">
        <f t="shared" ca="1" si="80"/>
        <v>981211.1399999999</v>
      </c>
      <c r="X170" s="10">
        <f t="shared" ca="1" si="81"/>
        <v>344749.8600000001</v>
      </c>
      <c r="Y170" s="12">
        <f t="shared" ca="1" si="82"/>
        <v>0.26000000000000006</v>
      </c>
      <c r="Z170" s="2" t="str">
        <f t="shared" ca="1" si="83"/>
        <v>Em negociação</v>
      </c>
      <c r="AA170" s="8">
        <f t="shared" ca="1" si="84"/>
        <v>3</v>
      </c>
      <c r="AB170" s="2">
        <f t="shared" ca="1" si="85"/>
        <v>16</v>
      </c>
      <c r="AC170" s="2">
        <f t="shared" ca="1" si="86"/>
        <v>7</v>
      </c>
    </row>
    <row r="171" spans="1:29" x14ac:dyDescent="0.25">
      <c r="A171" s="14" t="str">
        <f t="shared" si="58"/>
        <v>VND-00171</v>
      </c>
      <c r="B171" s="5">
        <f t="shared" ca="1" si="59"/>
        <v>45666</v>
      </c>
      <c r="C171" s="2">
        <f t="shared" ca="1" si="60"/>
        <v>2025</v>
      </c>
      <c r="D171" s="2" t="str">
        <f t="shared" ca="1" si="61"/>
        <v>janeiro</v>
      </c>
      <c r="E171" s="2" t="str">
        <f t="shared" ca="1" si="62"/>
        <v>2025/01</v>
      </c>
      <c r="F171" s="14" t="str">
        <f t="shared" ca="1" si="63"/>
        <v>CLI-8303</v>
      </c>
      <c r="G171" s="2" t="str">
        <f t="shared" ca="1" si="64"/>
        <v>Lucas</v>
      </c>
      <c r="H171" s="2" t="str">
        <f t="shared" ca="1" si="65"/>
        <v>Recorrente</v>
      </c>
      <c r="I171" s="2" t="str">
        <f t="shared" ca="1" si="66"/>
        <v>João</v>
      </c>
      <c r="J171" s="14" t="str">
        <f t="shared" ca="1" si="67"/>
        <v>VCL-6749</v>
      </c>
      <c r="K171" s="2" t="str">
        <f t="shared" ca="1" si="68"/>
        <v>Onix</v>
      </c>
      <c r="L171" s="2" t="str">
        <f t="shared" ca="1" si="69"/>
        <v>Chevrolet</v>
      </c>
      <c r="M171" s="2" t="str">
        <f t="shared" ca="1" si="70"/>
        <v>Popular</v>
      </c>
      <c r="N171" s="2">
        <f t="shared" ca="1" si="71"/>
        <v>2022</v>
      </c>
      <c r="O171" s="2" t="str">
        <f t="shared" ca="1" si="72"/>
        <v>Online</v>
      </c>
      <c r="P171" s="2" t="str">
        <f t="shared" ca="1" si="73"/>
        <v>Sudeste</v>
      </c>
      <c r="Q171" s="2" t="str">
        <f t="shared" ca="1" si="74"/>
        <v>MG</v>
      </c>
      <c r="R171" s="2" t="str">
        <f t="shared" ca="1" si="75"/>
        <v>Juiz de Fora</v>
      </c>
      <c r="S171" s="8">
        <f t="shared" ca="1" si="76"/>
        <v>3</v>
      </c>
      <c r="T171" s="10">
        <f t="shared" ca="1" si="77"/>
        <v>63091</v>
      </c>
      <c r="U171" s="10">
        <f t="shared" ca="1" si="78"/>
        <v>44163.7</v>
      </c>
      <c r="V171" s="10">
        <f t="shared" ca="1" si="79"/>
        <v>189273</v>
      </c>
      <c r="W171" s="10">
        <f t="shared" ca="1" si="80"/>
        <v>132491.09999999998</v>
      </c>
      <c r="X171" s="10">
        <f t="shared" ca="1" si="81"/>
        <v>56781.900000000023</v>
      </c>
      <c r="Y171" s="12">
        <f t="shared" ca="1" si="82"/>
        <v>0.3000000000000001</v>
      </c>
      <c r="Z171" s="2" t="str">
        <f t="shared" ca="1" si="83"/>
        <v>Em negociação</v>
      </c>
      <c r="AA171" s="8">
        <f t="shared" ca="1" si="84"/>
        <v>22</v>
      </c>
      <c r="AB171" s="2">
        <f t="shared" ca="1" si="85"/>
        <v>14</v>
      </c>
      <c r="AC171" s="2">
        <f t="shared" ca="1" si="86"/>
        <v>10</v>
      </c>
    </row>
    <row r="172" spans="1:29" x14ac:dyDescent="0.25">
      <c r="A172" s="14" t="str">
        <f t="shared" si="58"/>
        <v>VND-00172</v>
      </c>
      <c r="B172" s="5">
        <f t="shared" ca="1" si="59"/>
        <v>45328</v>
      </c>
      <c r="C172" s="2">
        <f t="shared" ca="1" si="60"/>
        <v>2024</v>
      </c>
      <c r="D172" s="2" t="str">
        <f t="shared" ca="1" si="61"/>
        <v>fevereiro</v>
      </c>
      <c r="E172" s="2" t="str">
        <f t="shared" ca="1" si="62"/>
        <v>2024/02</v>
      </c>
      <c r="F172" s="14" t="str">
        <f t="shared" ca="1" si="63"/>
        <v>CLI-2345</v>
      </c>
      <c r="G172" s="2" t="str">
        <f t="shared" ca="1" si="64"/>
        <v>Carlos</v>
      </c>
      <c r="H172" s="2" t="str">
        <f t="shared" ca="1" si="65"/>
        <v>Novo</v>
      </c>
      <c r="I172" s="2" t="str">
        <f t="shared" ca="1" si="66"/>
        <v>Gustavo</v>
      </c>
      <c r="J172" s="14" t="str">
        <f t="shared" ca="1" si="67"/>
        <v>VCL-8419</v>
      </c>
      <c r="K172" s="2" t="str">
        <f t="shared" ca="1" si="68"/>
        <v>HB20</v>
      </c>
      <c r="L172" s="2" t="str">
        <f t="shared" ca="1" si="69"/>
        <v>Hyundai</v>
      </c>
      <c r="M172" s="2" t="str">
        <f t="shared" ca="1" si="70"/>
        <v>Popular</v>
      </c>
      <c r="N172" s="2">
        <f t="shared" ca="1" si="71"/>
        <v>2024</v>
      </c>
      <c r="O172" s="2" t="str">
        <f t="shared" ca="1" si="72"/>
        <v>Online</v>
      </c>
      <c r="P172" s="2" t="str">
        <f t="shared" ca="1" si="73"/>
        <v>Centro-Oeste</v>
      </c>
      <c r="Q172" s="2" t="str">
        <f t="shared" ca="1" si="74"/>
        <v>MT</v>
      </c>
      <c r="R172" s="2" t="str">
        <f t="shared" ca="1" si="75"/>
        <v>Cuiabá</v>
      </c>
      <c r="S172" s="8">
        <f t="shared" ca="1" si="76"/>
        <v>7</v>
      </c>
      <c r="T172" s="10">
        <f t="shared" ca="1" si="77"/>
        <v>74558</v>
      </c>
      <c r="U172" s="10">
        <f t="shared" ca="1" si="78"/>
        <v>58900.82</v>
      </c>
      <c r="V172" s="10">
        <f t="shared" ca="1" si="79"/>
        <v>521906</v>
      </c>
      <c r="W172" s="10">
        <f t="shared" ca="1" si="80"/>
        <v>412305.74</v>
      </c>
      <c r="X172" s="10">
        <f t="shared" ca="1" si="81"/>
        <v>109600.26000000001</v>
      </c>
      <c r="Y172" s="12">
        <f t="shared" ca="1" si="82"/>
        <v>0.21000000000000002</v>
      </c>
      <c r="Z172" s="2" t="str">
        <f t="shared" ca="1" si="83"/>
        <v>Concluída</v>
      </c>
      <c r="AA172" s="8">
        <f t="shared" ca="1" si="84"/>
        <v>11</v>
      </c>
      <c r="AB172" s="2">
        <f t="shared" ca="1" si="85"/>
        <v>16</v>
      </c>
      <c r="AC172" s="2">
        <f t="shared" ca="1" si="86"/>
        <v>10</v>
      </c>
    </row>
    <row r="173" spans="1:29" x14ac:dyDescent="0.25">
      <c r="A173" s="14" t="str">
        <f t="shared" si="58"/>
        <v>VND-00173</v>
      </c>
      <c r="B173" s="5">
        <f t="shared" ca="1" si="59"/>
        <v>45889</v>
      </c>
      <c r="C173" s="2">
        <f t="shared" ca="1" si="60"/>
        <v>2025</v>
      </c>
      <c r="D173" s="2" t="str">
        <f t="shared" ca="1" si="61"/>
        <v>agosto</v>
      </c>
      <c r="E173" s="2" t="str">
        <f t="shared" ca="1" si="62"/>
        <v>2025/08</v>
      </c>
      <c r="F173" s="14" t="str">
        <f t="shared" ca="1" si="63"/>
        <v>CLI-8923</v>
      </c>
      <c r="G173" s="2" t="str">
        <f t="shared" ca="1" si="64"/>
        <v>Fernanda</v>
      </c>
      <c r="H173" s="2" t="str">
        <f t="shared" ca="1" si="65"/>
        <v>Recorrente</v>
      </c>
      <c r="I173" s="2" t="str">
        <f t="shared" ca="1" si="66"/>
        <v>Marcos</v>
      </c>
      <c r="J173" s="14" t="str">
        <f t="shared" ca="1" si="67"/>
        <v>VCL-4164</v>
      </c>
      <c r="K173" s="2" t="str">
        <f t="shared" ca="1" si="68"/>
        <v>HB20</v>
      </c>
      <c r="L173" s="2" t="str">
        <f t="shared" ca="1" si="69"/>
        <v>Hyundai</v>
      </c>
      <c r="M173" s="2" t="str">
        <f t="shared" ca="1" si="70"/>
        <v>Popular</v>
      </c>
      <c r="N173" s="2">
        <f t="shared" ca="1" si="71"/>
        <v>2022</v>
      </c>
      <c r="O173" s="2" t="str">
        <f t="shared" ca="1" si="72"/>
        <v>Loja</v>
      </c>
      <c r="P173" s="2" t="str">
        <f t="shared" ca="1" si="73"/>
        <v>Sul</v>
      </c>
      <c r="Q173" s="2" t="str">
        <f t="shared" ca="1" si="74"/>
        <v>SC</v>
      </c>
      <c r="R173" s="2" t="str">
        <f t="shared" ca="1" si="75"/>
        <v>Itajaí</v>
      </c>
      <c r="S173" s="8">
        <f t="shared" ca="1" si="76"/>
        <v>3</v>
      </c>
      <c r="T173" s="10">
        <f t="shared" ca="1" si="77"/>
        <v>93079</v>
      </c>
      <c r="U173" s="10">
        <f t="shared" ca="1" si="78"/>
        <v>69809.25</v>
      </c>
      <c r="V173" s="10">
        <f t="shared" ca="1" si="79"/>
        <v>279237</v>
      </c>
      <c r="W173" s="10">
        <f t="shared" ca="1" si="80"/>
        <v>209427.75</v>
      </c>
      <c r="X173" s="10">
        <f t="shared" ca="1" si="81"/>
        <v>69809.25</v>
      </c>
      <c r="Y173" s="12">
        <f t="shared" ca="1" si="82"/>
        <v>0.25</v>
      </c>
      <c r="Z173" s="2" t="str">
        <f t="shared" ca="1" si="83"/>
        <v>Concluída</v>
      </c>
      <c r="AA173" s="8">
        <f t="shared" ca="1" si="84"/>
        <v>27</v>
      </c>
      <c r="AB173" s="2">
        <f t="shared" ca="1" si="85"/>
        <v>30</v>
      </c>
      <c r="AC173" s="2">
        <f t="shared" ca="1" si="86"/>
        <v>10</v>
      </c>
    </row>
    <row r="174" spans="1:29" x14ac:dyDescent="0.25">
      <c r="A174" s="14" t="str">
        <f t="shared" si="58"/>
        <v>VND-00174</v>
      </c>
      <c r="B174" s="5">
        <f t="shared" ca="1" si="59"/>
        <v>45994</v>
      </c>
      <c r="C174" s="2">
        <f t="shared" ca="1" si="60"/>
        <v>2025</v>
      </c>
      <c r="D174" s="2" t="str">
        <f t="shared" ca="1" si="61"/>
        <v>dezembro</v>
      </c>
      <c r="E174" s="2" t="str">
        <f t="shared" ca="1" si="62"/>
        <v>2025/12</v>
      </c>
      <c r="F174" s="14" t="str">
        <f t="shared" ca="1" si="63"/>
        <v>CLI-8942</v>
      </c>
      <c r="G174" s="2" t="str">
        <f t="shared" ca="1" si="64"/>
        <v>Ana</v>
      </c>
      <c r="H174" s="2" t="str">
        <f t="shared" ca="1" si="65"/>
        <v>Recorrente</v>
      </c>
      <c r="I174" s="2" t="str">
        <f t="shared" ca="1" si="66"/>
        <v>Vinicius</v>
      </c>
      <c r="J174" s="14" t="str">
        <f t="shared" ca="1" si="67"/>
        <v>VCL-5158</v>
      </c>
      <c r="K174" s="2" t="str">
        <f t="shared" ca="1" si="68"/>
        <v>Onix</v>
      </c>
      <c r="L174" s="2" t="str">
        <f t="shared" ca="1" si="69"/>
        <v>Chevrolet</v>
      </c>
      <c r="M174" s="2" t="str">
        <f t="shared" ca="1" si="70"/>
        <v>Popular</v>
      </c>
      <c r="N174" s="2">
        <f t="shared" ca="1" si="71"/>
        <v>2022</v>
      </c>
      <c r="O174" s="2" t="str">
        <f t="shared" ca="1" si="72"/>
        <v>Loja</v>
      </c>
      <c r="P174" s="2" t="str">
        <f t="shared" ca="1" si="73"/>
        <v>Centro-Oeste</v>
      </c>
      <c r="Q174" s="2" t="str">
        <f t="shared" ca="1" si="74"/>
        <v>GO</v>
      </c>
      <c r="R174" s="2" t="str">
        <f t="shared" ca="1" si="75"/>
        <v>Anápolis</v>
      </c>
      <c r="S174" s="8">
        <f t="shared" ca="1" si="76"/>
        <v>6</v>
      </c>
      <c r="T174" s="10">
        <f t="shared" ca="1" si="77"/>
        <v>182676</v>
      </c>
      <c r="U174" s="10">
        <f t="shared" ca="1" si="78"/>
        <v>137007</v>
      </c>
      <c r="V174" s="10">
        <f t="shared" ca="1" si="79"/>
        <v>1096056</v>
      </c>
      <c r="W174" s="10">
        <f t="shared" ca="1" si="80"/>
        <v>822042</v>
      </c>
      <c r="X174" s="10">
        <f t="shared" ca="1" si="81"/>
        <v>274014</v>
      </c>
      <c r="Y174" s="12">
        <f t="shared" ca="1" si="82"/>
        <v>0.25</v>
      </c>
      <c r="Z174" s="2" t="str">
        <f t="shared" ca="1" si="83"/>
        <v>Cancelada</v>
      </c>
      <c r="AA174" s="8">
        <f t="shared" ca="1" si="84"/>
        <v>24</v>
      </c>
      <c r="AB174" s="2">
        <f t="shared" ca="1" si="85"/>
        <v>21</v>
      </c>
      <c r="AC174" s="2">
        <f t="shared" ca="1" si="86"/>
        <v>10</v>
      </c>
    </row>
    <row r="175" spans="1:29" x14ac:dyDescent="0.25">
      <c r="A175" s="14" t="str">
        <f t="shared" si="58"/>
        <v>VND-00175</v>
      </c>
      <c r="B175" s="5">
        <f t="shared" ca="1" si="59"/>
        <v>44972</v>
      </c>
      <c r="C175" s="2">
        <f t="shared" ca="1" si="60"/>
        <v>2023</v>
      </c>
      <c r="D175" s="2" t="str">
        <f t="shared" ca="1" si="61"/>
        <v>fevereiro</v>
      </c>
      <c r="E175" s="2" t="str">
        <f t="shared" ca="1" si="62"/>
        <v>2023/02</v>
      </c>
      <c r="F175" s="14" t="str">
        <f t="shared" ca="1" si="63"/>
        <v>CLI-9968</v>
      </c>
      <c r="G175" s="2" t="str">
        <f t="shared" ca="1" si="64"/>
        <v>Lucas</v>
      </c>
      <c r="H175" s="2" t="str">
        <f t="shared" ca="1" si="65"/>
        <v>Recorrente</v>
      </c>
      <c r="I175" s="2" t="str">
        <f t="shared" ca="1" si="66"/>
        <v>Gustavo</v>
      </c>
      <c r="J175" s="14" t="str">
        <f t="shared" ca="1" si="67"/>
        <v>VCL-5420</v>
      </c>
      <c r="K175" s="2" t="str">
        <f t="shared" ca="1" si="68"/>
        <v>HB20</v>
      </c>
      <c r="L175" s="2" t="str">
        <f t="shared" ca="1" si="69"/>
        <v>Hyundai</v>
      </c>
      <c r="M175" s="2" t="str">
        <f t="shared" ca="1" si="70"/>
        <v>Popular</v>
      </c>
      <c r="N175" s="2">
        <f t="shared" ca="1" si="71"/>
        <v>2017</v>
      </c>
      <c r="O175" s="2" t="str">
        <f t="shared" ca="1" si="72"/>
        <v>Online</v>
      </c>
      <c r="P175" s="2" t="str">
        <f t="shared" ca="1" si="73"/>
        <v>Centro-Oeste</v>
      </c>
      <c r="Q175" s="2" t="str">
        <f t="shared" ca="1" si="74"/>
        <v>DF</v>
      </c>
      <c r="R175" s="2" t="str">
        <f t="shared" ca="1" si="75"/>
        <v>Ceilândia</v>
      </c>
      <c r="S175" s="8">
        <f t="shared" ca="1" si="76"/>
        <v>3</v>
      </c>
      <c r="T175" s="10">
        <f t="shared" ca="1" si="77"/>
        <v>177054</v>
      </c>
      <c r="U175" s="10">
        <f t="shared" ca="1" si="78"/>
        <v>138102.12</v>
      </c>
      <c r="V175" s="10">
        <f t="shared" ca="1" si="79"/>
        <v>531162</v>
      </c>
      <c r="W175" s="10">
        <f t="shared" ca="1" si="80"/>
        <v>414306.36</v>
      </c>
      <c r="X175" s="10">
        <f t="shared" ca="1" si="81"/>
        <v>116855.64000000001</v>
      </c>
      <c r="Y175" s="12">
        <f t="shared" ca="1" si="82"/>
        <v>0.22000000000000003</v>
      </c>
      <c r="Z175" s="2" t="str">
        <f t="shared" ca="1" si="83"/>
        <v>Concluída</v>
      </c>
      <c r="AA175" s="8">
        <f t="shared" ca="1" si="84"/>
        <v>14</v>
      </c>
      <c r="AB175" s="2">
        <f t="shared" ca="1" si="85"/>
        <v>27</v>
      </c>
      <c r="AC175" s="2">
        <f t="shared" ca="1" si="86"/>
        <v>10</v>
      </c>
    </row>
    <row r="176" spans="1:29" x14ac:dyDescent="0.25">
      <c r="A176" s="14" t="str">
        <f t="shared" si="58"/>
        <v>VND-00176</v>
      </c>
      <c r="B176" s="5">
        <f t="shared" ca="1" si="59"/>
        <v>45979</v>
      </c>
      <c r="C176" s="2">
        <f t="shared" ca="1" si="60"/>
        <v>2025</v>
      </c>
      <c r="D176" s="2" t="str">
        <f t="shared" ca="1" si="61"/>
        <v>novembro</v>
      </c>
      <c r="E176" s="2" t="str">
        <f t="shared" ca="1" si="62"/>
        <v>2025/11</v>
      </c>
      <c r="F176" s="14" t="str">
        <f t="shared" ca="1" si="63"/>
        <v>CLI-7208</v>
      </c>
      <c r="G176" s="2" t="str">
        <f t="shared" ca="1" si="64"/>
        <v>Fernanda</v>
      </c>
      <c r="H176" s="2" t="str">
        <f t="shared" ca="1" si="65"/>
        <v>Recorrente</v>
      </c>
      <c r="I176" s="2" t="str">
        <f t="shared" ca="1" si="66"/>
        <v>Gustavo</v>
      </c>
      <c r="J176" s="14" t="str">
        <f t="shared" ca="1" si="67"/>
        <v>VCL-2308</v>
      </c>
      <c r="K176" s="2" t="str">
        <f t="shared" ca="1" si="68"/>
        <v>BMW X1</v>
      </c>
      <c r="L176" s="2" t="str">
        <f t="shared" ca="1" si="69"/>
        <v>BMW</v>
      </c>
      <c r="M176" s="2" t="str">
        <f t="shared" ca="1" si="70"/>
        <v>Luxo</v>
      </c>
      <c r="N176" s="2">
        <f t="shared" ca="1" si="71"/>
        <v>2024</v>
      </c>
      <c r="O176" s="2" t="str">
        <f t="shared" ca="1" si="72"/>
        <v>Loja</v>
      </c>
      <c r="P176" s="2" t="str">
        <f t="shared" ca="1" si="73"/>
        <v>Centro-Oeste</v>
      </c>
      <c r="Q176" s="2" t="str">
        <f t="shared" ca="1" si="74"/>
        <v>DF</v>
      </c>
      <c r="R176" s="2" t="str">
        <f t="shared" ca="1" si="75"/>
        <v>Brasília</v>
      </c>
      <c r="S176" s="8">
        <f t="shared" ca="1" si="76"/>
        <v>6</v>
      </c>
      <c r="T176" s="10">
        <f t="shared" ca="1" si="77"/>
        <v>144952</v>
      </c>
      <c r="U176" s="10">
        <f t="shared" ca="1" si="78"/>
        <v>107264.48</v>
      </c>
      <c r="V176" s="10">
        <f t="shared" ca="1" si="79"/>
        <v>869712</v>
      </c>
      <c r="W176" s="10">
        <f t="shared" ca="1" si="80"/>
        <v>643586.88</v>
      </c>
      <c r="X176" s="10">
        <f t="shared" ca="1" si="81"/>
        <v>226125.12</v>
      </c>
      <c r="Y176" s="12">
        <f t="shared" ca="1" si="82"/>
        <v>0.26</v>
      </c>
      <c r="Z176" s="2" t="str">
        <f t="shared" ca="1" si="83"/>
        <v>Concluída</v>
      </c>
      <c r="AA176" s="8">
        <f t="shared" ca="1" si="84"/>
        <v>7</v>
      </c>
      <c r="AB176" s="2">
        <f t="shared" ca="1" si="85"/>
        <v>6</v>
      </c>
      <c r="AC176" s="2">
        <f t="shared" ca="1" si="86"/>
        <v>3</v>
      </c>
    </row>
    <row r="177" spans="1:29" x14ac:dyDescent="0.25">
      <c r="A177" s="14" t="str">
        <f t="shared" si="58"/>
        <v>VND-00177</v>
      </c>
      <c r="B177" s="5">
        <f t="shared" ca="1" si="59"/>
        <v>45700</v>
      </c>
      <c r="C177" s="2">
        <f t="shared" ca="1" si="60"/>
        <v>2025</v>
      </c>
      <c r="D177" s="2" t="str">
        <f t="shared" ca="1" si="61"/>
        <v>fevereiro</v>
      </c>
      <c r="E177" s="2" t="str">
        <f t="shared" ca="1" si="62"/>
        <v>2025/02</v>
      </c>
      <c r="F177" s="14" t="str">
        <f t="shared" ca="1" si="63"/>
        <v>CLI-3351</v>
      </c>
      <c r="G177" s="2" t="str">
        <f t="shared" ca="1" si="64"/>
        <v>Fernanda</v>
      </c>
      <c r="H177" s="2" t="str">
        <f t="shared" ca="1" si="65"/>
        <v>Novo</v>
      </c>
      <c r="I177" s="2" t="str">
        <f t="shared" ca="1" si="66"/>
        <v>Bruno</v>
      </c>
      <c r="J177" s="14" t="str">
        <f t="shared" ca="1" si="67"/>
        <v>VCL-8305</v>
      </c>
      <c r="K177" s="2" t="str">
        <f t="shared" ca="1" si="68"/>
        <v>Corolla</v>
      </c>
      <c r="L177" s="2" t="str">
        <f t="shared" ca="1" si="69"/>
        <v>Toyota</v>
      </c>
      <c r="M177" s="2" t="str">
        <f t="shared" ca="1" si="70"/>
        <v>SUV</v>
      </c>
      <c r="N177" s="2">
        <f t="shared" ca="1" si="71"/>
        <v>2018</v>
      </c>
      <c r="O177" s="2" t="str">
        <f t="shared" ca="1" si="72"/>
        <v>Online</v>
      </c>
      <c r="P177" s="2" t="str">
        <f t="shared" ca="1" si="73"/>
        <v>Sul</v>
      </c>
      <c r="Q177" s="2" t="str">
        <f t="shared" ca="1" si="74"/>
        <v>RS</v>
      </c>
      <c r="R177" s="2" t="str">
        <f t="shared" ca="1" si="75"/>
        <v>Canoas</v>
      </c>
      <c r="S177" s="8">
        <f t="shared" ca="1" si="76"/>
        <v>9</v>
      </c>
      <c r="T177" s="10">
        <f t="shared" ca="1" si="77"/>
        <v>133859</v>
      </c>
      <c r="U177" s="10">
        <f t="shared" ca="1" si="78"/>
        <v>113780.15</v>
      </c>
      <c r="V177" s="10">
        <f t="shared" ca="1" si="79"/>
        <v>1204731</v>
      </c>
      <c r="W177" s="10">
        <f t="shared" ca="1" si="80"/>
        <v>1024021.35</v>
      </c>
      <c r="X177" s="10">
        <f t="shared" ca="1" si="81"/>
        <v>180709.65000000002</v>
      </c>
      <c r="Y177" s="12">
        <f t="shared" ca="1" si="82"/>
        <v>0.15000000000000002</v>
      </c>
      <c r="Z177" s="2" t="str">
        <f t="shared" ca="1" si="83"/>
        <v>Cancelada</v>
      </c>
      <c r="AA177" s="8">
        <f t="shared" ca="1" si="84"/>
        <v>9</v>
      </c>
      <c r="AB177" s="2">
        <f t="shared" ca="1" si="85"/>
        <v>7</v>
      </c>
      <c r="AC177" s="2">
        <f t="shared" ca="1" si="86"/>
        <v>7</v>
      </c>
    </row>
    <row r="178" spans="1:29" x14ac:dyDescent="0.25">
      <c r="A178" s="14" t="str">
        <f t="shared" si="58"/>
        <v>VND-00178</v>
      </c>
      <c r="B178" s="5">
        <f t="shared" ca="1" si="59"/>
        <v>45673</v>
      </c>
      <c r="C178" s="2">
        <f t="shared" ca="1" si="60"/>
        <v>2025</v>
      </c>
      <c r="D178" s="2" t="str">
        <f t="shared" ca="1" si="61"/>
        <v>janeiro</v>
      </c>
      <c r="E178" s="2" t="str">
        <f t="shared" ca="1" si="62"/>
        <v>2025/01</v>
      </c>
      <c r="F178" s="14" t="str">
        <f t="shared" ca="1" si="63"/>
        <v>CLI-7945</v>
      </c>
      <c r="G178" s="2" t="str">
        <f t="shared" ca="1" si="64"/>
        <v>Carlos</v>
      </c>
      <c r="H178" s="2" t="str">
        <f t="shared" ca="1" si="65"/>
        <v>Recorrente</v>
      </c>
      <c r="I178" s="2" t="str">
        <f t="shared" ca="1" si="66"/>
        <v>Diego</v>
      </c>
      <c r="J178" s="14" t="str">
        <f t="shared" ca="1" si="67"/>
        <v>VCL-9362</v>
      </c>
      <c r="K178" s="2" t="str">
        <f t="shared" ca="1" si="68"/>
        <v>Corolla</v>
      </c>
      <c r="L178" s="2" t="str">
        <f t="shared" ca="1" si="69"/>
        <v>Toyota</v>
      </c>
      <c r="M178" s="2" t="str">
        <f t="shared" ca="1" si="70"/>
        <v>SUV</v>
      </c>
      <c r="N178" s="2">
        <f t="shared" ca="1" si="71"/>
        <v>2023</v>
      </c>
      <c r="O178" s="2" t="str">
        <f t="shared" ca="1" si="72"/>
        <v>Loja</v>
      </c>
      <c r="P178" s="2" t="str">
        <f t="shared" ca="1" si="73"/>
        <v>Nordeste</v>
      </c>
      <c r="Q178" s="2" t="str">
        <f t="shared" ca="1" si="74"/>
        <v>CE</v>
      </c>
      <c r="R178" s="2" t="str">
        <f t="shared" ca="1" si="75"/>
        <v>Sobral</v>
      </c>
      <c r="S178" s="8">
        <f t="shared" ca="1" si="76"/>
        <v>9</v>
      </c>
      <c r="T178" s="10">
        <f t="shared" ca="1" si="77"/>
        <v>104690</v>
      </c>
      <c r="U178" s="10">
        <f t="shared" ca="1" si="78"/>
        <v>81658.2</v>
      </c>
      <c r="V178" s="10">
        <f t="shared" ca="1" si="79"/>
        <v>942210</v>
      </c>
      <c r="W178" s="10">
        <f t="shared" ca="1" si="80"/>
        <v>734923.79999999993</v>
      </c>
      <c r="X178" s="10">
        <f t="shared" ca="1" si="81"/>
        <v>207286.20000000007</v>
      </c>
      <c r="Y178" s="12">
        <f t="shared" ca="1" si="82"/>
        <v>0.22000000000000008</v>
      </c>
      <c r="Z178" s="2" t="str">
        <f t="shared" ca="1" si="83"/>
        <v>Em negociação</v>
      </c>
      <c r="AA178" s="8">
        <f t="shared" ca="1" si="84"/>
        <v>18</v>
      </c>
      <c r="AB178" s="2">
        <f t="shared" ca="1" si="85"/>
        <v>20</v>
      </c>
      <c r="AC178" s="2">
        <f t="shared" ca="1" si="86"/>
        <v>7</v>
      </c>
    </row>
    <row r="179" spans="1:29" x14ac:dyDescent="0.25">
      <c r="A179" s="14" t="str">
        <f t="shared" si="58"/>
        <v>VND-00179</v>
      </c>
      <c r="B179" s="5">
        <f t="shared" ca="1" si="59"/>
        <v>45360</v>
      </c>
      <c r="C179" s="2">
        <f t="shared" ca="1" si="60"/>
        <v>2024</v>
      </c>
      <c r="D179" s="2" t="str">
        <f t="shared" ca="1" si="61"/>
        <v>março</v>
      </c>
      <c r="E179" s="2" t="str">
        <f t="shared" ca="1" si="62"/>
        <v>2024/03</v>
      </c>
      <c r="F179" s="14" t="str">
        <f t="shared" ca="1" si="63"/>
        <v>CLI-5670</v>
      </c>
      <c r="G179" s="2" t="str">
        <f t="shared" ca="1" si="64"/>
        <v>Lucas</v>
      </c>
      <c r="H179" s="2" t="str">
        <f t="shared" ca="1" si="65"/>
        <v>Novo</v>
      </c>
      <c r="I179" s="2" t="str">
        <f t="shared" ca="1" si="66"/>
        <v>André</v>
      </c>
      <c r="J179" s="14" t="str">
        <f t="shared" ca="1" si="67"/>
        <v>VCL-7530</v>
      </c>
      <c r="K179" s="2" t="str">
        <f t="shared" ca="1" si="68"/>
        <v>Compass</v>
      </c>
      <c r="L179" s="2" t="str">
        <f t="shared" ca="1" si="69"/>
        <v>Jeep</v>
      </c>
      <c r="M179" s="2" t="str">
        <f t="shared" ca="1" si="70"/>
        <v>SUV</v>
      </c>
      <c r="N179" s="2">
        <f t="shared" ca="1" si="71"/>
        <v>2019</v>
      </c>
      <c r="O179" s="2" t="str">
        <f t="shared" ca="1" si="72"/>
        <v>Loja</v>
      </c>
      <c r="P179" s="2" t="str">
        <f t="shared" ca="1" si="73"/>
        <v>Nordeste</v>
      </c>
      <c r="Q179" s="2" t="str">
        <f t="shared" ca="1" si="74"/>
        <v>CE</v>
      </c>
      <c r="R179" s="2" t="str">
        <f t="shared" ca="1" si="75"/>
        <v>Sobral</v>
      </c>
      <c r="S179" s="8">
        <f t="shared" ca="1" si="76"/>
        <v>6</v>
      </c>
      <c r="T179" s="10">
        <f t="shared" ca="1" si="77"/>
        <v>158288</v>
      </c>
      <c r="U179" s="10">
        <f t="shared" ca="1" si="78"/>
        <v>120298.88</v>
      </c>
      <c r="V179" s="10">
        <f t="shared" ca="1" si="79"/>
        <v>949728</v>
      </c>
      <c r="W179" s="10">
        <f t="shared" ca="1" si="80"/>
        <v>721793.28</v>
      </c>
      <c r="X179" s="10">
        <f t="shared" ca="1" si="81"/>
        <v>227934.71999999997</v>
      </c>
      <c r="Y179" s="12">
        <f t="shared" ca="1" si="82"/>
        <v>0.23999999999999996</v>
      </c>
      <c r="Z179" s="2" t="str">
        <f t="shared" ca="1" si="83"/>
        <v>Em negociação</v>
      </c>
      <c r="AA179" s="8">
        <f t="shared" ca="1" si="84"/>
        <v>10</v>
      </c>
      <c r="AB179" s="2">
        <f t="shared" ca="1" si="85"/>
        <v>18</v>
      </c>
      <c r="AC179" s="2">
        <f t="shared" ca="1" si="86"/>
        <v>7</v>
      </c>
    </row>
    <row r="180" spans="1:29" x14ac:dyDescent="0.25">
      <c r="A180" s="14" t="str">
        <f t="shared" si="58"/>
        <v>VND-00180</v>
      </c>
      <c r="B180" s="5">
        <f t="shared" ca="1" si="59"/>
        <v>45968</v>
      </c>
      <c r="C180" s="2">
        <f t="shared" ca="1" si="60"/>
        <v>2025</v>
      </c>
      <c r="D180" s="2" t="str">
        <f t="shared" ca="1" si="61"/>
        <v>novembro</v>
      </c>
      <c r="E180" s="2" t="str">
        <f t="shared" ca="1" si="62"/>
        <v>2025/11</v>
      </c>
      <c r="F180" s="14" t="str">
        <f t="shared" ca="1" si="63"/>
        <v>CLI-1759</v>
      </c>
      <c r="G180" s="2" t="str">
        <f t="shared" ca="1" si="64"/>
        <v>Lucas</v>
      </c>
      <c r="H180" s="2" t="str">
        <f t="shared" ca="1" si="65"/>
        <v>Novo</v>
      </c>
      <c r="I180" s="2" t="str">
        <f t="shared" ca="1" si="66"/>
        <v>Roberto</v>
      </c>
      <c r="J180" s="14" t="str">
        <f t="shared" ca="1" si="67"/>
        <v>VCL-4932</v>
      </c>
      <c r="K180" s="2" t="str">
        <f t="shared" ca="1" si="68"/>
        <v>HB20</v>
      </c>
      <c r="L180" s="2" t="str">
        <f t="shared" ca="1" si="69"/>
        <v>Hyundai</v>
      </c>
      <c r="M180" s="2" t="str">
        <f t="shared" ca="1" si="70"/>
        <v>Popular</v>
      </c>
      <c r="N180" s="2">
        <f t="shared" ca="1" si="71"/>
        <v>2020</v>
      </c>
      <c r="O180" s="2" t="str">
        <f t="shared" ca="1" si="72"/>
        <v>Loja</v>
      </c>
      <c r="P180" s="2" t="str">
        <f t="shared" ca="1" si="73"/>
        <v>Nordeste</v>
      </c>
      <c r="Q180" s="2" t="str">
        <f t="shared" ca="1" si="74"/>
        <v>CE</v>
      </c>
      <c r="R180" s="2" t="str">
        <f t="shared" ca="1" si="75"/>
        <v>Sobral</v>
      </c>
      <c r="S180" s="8">
        <f t="shared" ca="1" si="76"/>
        <v>7</v>
      </c>
      <c r="T180" s="10">
        <f t="shared" ca="1" si="77"/>
        <v>210147</v>
      </c>
      <c r="U180" s="10">
        <f t="shared" ca="1" si="78"/>
        <v>151305.84</v>
      </c>
      <c r="V180" s="10">
        <f t="shared" ca="1" si="79"/>
        <v>1471029</v>
      </c>
      <c r="W180" s="10">
        <f t="shared" ca="1" si="80"/>
        <v>1059140.8799999999</v>
      </c>
      <c r="X180" s="10">
        <f t="shared" ca="1" si="81"/>
        <v>411888.12000000011</v>
      </c>
      <c r="Y180" s="12">
        <f t="shared" ca="1" si="82"/>
        <v>0.28000000000000008</v>
      </c>
      <c r="Z180" s="2" t="str">
        <f t="shared" ca="1" si="83"/>
        <v>Concluída</v>
      </c>
      <c r="AA180" s="8">
        <f t="shared" ca="1" si="84"/>
        <v>20</v>
      </c>
      <c r="AB180" s="2">
        <f t="shared" ca="1" si="85"/>
        <v>17</v>
      </c>
      <c r="AC180" s="2">
        <f t="shared" ca="1" si="86"/>
        <v>10</v>
      </c>
    </row>
    <row r="181" spans="1:29" x14ac:dyDescent="0.25">
      <c r="A181" s="14" t="str">
        <f t="shared" si="58"/>
        <v>VND-00181</v>
      </c>
      <c r="B181" s="5">
        <f t="shared" ca="1" si="59"/>
        <v>44935</v>
      </c>
      <c r="C181" s="2">
        <f t="shared" ca="1" si="60"/>
        <v>2023</v>
      </c>
      <c r="D181" s="2" t="str">
        <f t="shared" ca="1" si="61"/>
        <v>janeiro</v>
      </c>
      <c r="E181" s="2" t="str">
        <f t="shared" ca="1" si="62"/>
        <v>2023/01</v>
      </c>
      <c r="F181" s="14" t="str">
        <f t="shared" ca="1" si="63"/>
        <v>CLI-5594</v>
      </c>
      <c r="G181" s="2" t="str">
        <f t="shared" ca="1" si="64"/>
        <v>Maria</v>
      </c>
      <c r="H181" s="2" t="str">
        <f t="shared" ca="1" si="65"/>
        <v>Recorrente</v>
      </c>
      <c r="I181" s="2" t="str">
        <f t="shared" ca="1" si="66"/>
        <v>Bruno</v>
      </c>
      <c r="J181" s="14" t="str">
        <f t="shared" ca="1" si="67"/>
        <v>VCL-3570</v>
      </c>
      <c r="K181" s="2" t="str">
        <f t="shared" ca="1" si="68"/>
        <v>Compass</v>
      </c>
      <c r="L181" s="2" t="str">
        <f t="shared" ca="1" si="69"/>
        <v>Jeep</v>
      </c>
      <c r="M181" s="2" t="str">
        <f t="shared" ca="1" si="70"/>
        <v>SUV</v>
      </c>
      <c r="N181" s="2">
        <f t="shared" ca="1" si="71"/>
        <v>2019</v>
      </c>
      <c r="O181" s="2" t="str">
        <f t="shared" ca="1" si="72"/>
        <v>Loja</v>
      </c>
      <c r="P181" s="2" t="str">
        <f t="shared" ca="1" si="73"/>
        <v>Sul</v>
      </c>
      <c r="Q181" s="2" t="str">
        <f t="shared" ca="1" si="74"/>
        <v>SC</v>
      </c>
      <c r="R181" s="2" t="str">
        <f t="shared" ca="1" si="75"/>
        <v>Joinville</v>
      </c>
      <c r="S181" s="8">
        <f t="shared" ca="1" si="76"/>
        <v>4</v>
      </c>
      <c r="T181" s="10">
        <f t="shared" ca="1" si="77"/>
        <v>179134</v>
      </c>
      <c r="U181" s="10">
        <f t="shared" ca="1" si="78"/>
        <v>128976.48</v>
      </c>
      <c r="V181" s="10">
        <f t="shared" ca="1" si="79"/>
        <v>716536</v>
      </c>
      <c r="W181" s="10">
        <f t="shared" ca="1" si="80"/>
        <v>515905.92</v>
      </c>
      <c r="X181" s="10">
        <f t="shared" ca="1" si="81"/>
        <v>200630.08000000002</v>
      </c>
      <c r="Y181" s="12">
        <f t="shared" ca="1" si="82"/>
        <v>0.28000000000000003</v>
      </c>
      <c r="Z181" s="2" t="str">
        <f t="shared" ca="1" si="83"/>
        <v>Cancelada</v>
      </c>
      <c r="AA181" s="8">
        <f t="shared" ca="1" si="84"/>
        <v>23</v>
      </c>
      <c r="AB181" s="2">
        <f t="shared" ca="1" si="85"/>
        <v>7</v>
      </c>
      <c r="AC181" s="2">
        <f t="shared" ca="1" si="86"/>
        <v>7</v>
      </c>
    </row>
    <row r="182" spans="1:29" x14ac:dyDescent="0.25">
      <c r="A182" s="14" t="str">
        <f t="shared" si="58"/>
        <v>VND-00182</v>
      </c>
      <c r="B182" s="5">
        <f t="shared" ca="1" si="59"/>
        <v>45214</v>
      </c>
      <c r="C182" s="2">
        <f t="shared" ca="1" si="60"/>
        <v>2023</v>
      </c>
      <c r="D182" s="2" t="str">
        <f t="shared" ca="1" si="61"/>
        <v>outubro</v>
      </c>
      <c r="E182" s="2" t="str">
        <f t="shared" ca="1" si="62"/>
        <v>2023/10</v>
      </c>
      <c r="F182" s="14" t="str">
        <f t="shared" ca="1" si="63"/>
        <v>CLI-8336</v>
      </c>
      <c r="G182" s="2" t="str">
        <f t="shared" ca="1" si="64"/>
        <v>Fernanda</v>
      </c>
      <c r="H182" s="2" t="str">
        <f t="shared" ca="1" si="65"/>
        <v>Novo</v>
      </c>
      <c r="I182" s="2" t="str">
        <f t="shared" ca="1" si="66"/>
        <v>Pedro</v>
      </c>
      <c r="J182" s="14" t="str">
        <f t="shared" ca="1" si="67"/>
        <v>VCL-9231</v>
      </c>
      <c r="K182" s="2" t="str">
        <f t="shared" ca="1" si="68"/>
        <v>Onix</v>
      </c>
      <c r="L182" s="2" t="str">
        <f t="shared" ca="1" si="69"/>
        <v>Chevrolet</v>
      </c>
      <c r="M182" s="2" t="str">
        <f t="shared" ca="1" si="70"/>
        <v>Popular</v>
      </c>
      <c r="N182" s="2">
        <f t="shared" ca="1" si="71"/>
        <v>2021</v>
      </c>
      <c r="O182" s="2" t="str">
        <f t="shared" ca="1" si="72"/>
        <v>Loja</v>
      </c>
      <c r="P182" s="2" t="str">
        <f t="shared" ca="1" si="73"/>
        <v>Sudeste</v>
      </c>
      <c r="Q182" s="2" t="str">
        <f t="shared" ca="1" si="74"/>
        <v>SP</v>
      </c>
      <c r="R182" s="2" t="str">
        <f t="shared" ca="1" si="75"/>
        <v>São Paulo</v>
      </c>
      <c r="S182" s="8">
        <f t="shared" ca="1" si="76"/>
        <v>2</v>
      </c>
      <c r="T182" s="10">
        <f t="shared" ca="1" si="77"/>
        <v>240363</v>
      </c>
      <c r="U182" s="10">
        <f t="shared" ca="1" si="78"/>
        <v>185079.51</v>
      </c>
      <c r="V182" s="10">
        <f t="shared" ca="1" si="79"/>
        <v>480726</v>
      </c>
      <c r="W182" s="10">
        <f t="shared" ca="1" si="80"/>
        <v>370159.02</v>
      </c>
      <c r="X182" s="10">
        <f t="shared" ca="1" si="81"/>
        <v>110566.97999999998</v>
      </c>
      <c r="Y182" s="12">
        <f t="shared" ca="1" si="82"/>
        <v>0.22999999999999995</v>
      </c>
      <c r="Z182" s="2" t="str">
        <f t="shared" ca="1" si="83"/>
        <v>Concluída</v>
      </c>
      <c r="AA182" s="8">
        <f t="shared" ca="1" si="84"/>
        <v>4</v>
      </c>
      <c r="AB182" s="2">
        <f t="shared" ca="1" si="85"/>
        <v>17</v>
      </c>
      <c r="AC182" s="2">
        <f t="shared" ca="1" si="86"/>
        <v>10</v>
      </c>
    </row>
    <row r="183" spans="1:29" x14ac:dyDescent="0.25">
      <c r="A183" s="14" t="str">
        <f t="shared" si="58"/>
        <v>VND-00183</v>
      </c>
      <c r="B183" s="5">
        <f t="shared" ca="1" si="59"/>
        <v>45048</v>
      </c>
      <c r="C183" s="2">
        <f t="shared" ca="1" si="60"/>
        <v>2023</v>
      </c>
      <c r="D183" s="2" t="str">
        <f t="shared" ca="1" si="61"/>
        <v>maio</v>
      </c>
      <c r="E183" s="2" t="str">
        <f t="shared" ca="1" si="62"/>
        <v>2023/05</v>
      </c>
      <c r="F183" s="14" t="str">
        <f t="shared" ca="1" si="63"/>
        <v>CLI-2444</v>
      </c>
      <c r="G183" s="2" t="str">
        <f t="shared" ca="1" si="64"/>
        <v>Maria</v>
      </c>
      <c r="H183" s="2" t="str">
        <f t="shared" ca="1" si="65"/>
        <v>Novo</v>
      </c>
      <c r="I183" s="2" t="str">
        <f t="shared" ca="1" si="66"/>
        <v>Marcos</v>
      </c>
      <c r="J183" s="14" t="str">
        <f t="shared" ca="1" si="67"/>
        <v>VCL-2386</v>
      </c>
      <c r="K183" s="2" t="str">
        <f t="shared" ca="1" si="68"/>
        <v>HB20</v>
      </c>
      <c r="L183" s="2" t="str">
        <f t="shared" ca="1" si="69"/>
        <v>Hyundai</v>
      </c>
      <c r="M183" s="2" t="str">
        <f t="shared" ca="1" si="70"/>
        <v>Popular</v>
      </c>
      <c r="N183" s="2">
        <f t="shared" ca="1" si="71"/>
        <v>2015</v>
      </c>
      <c r="O183" s="2" t="str">
        <f t="shared" ca="1" si="72"/>
        <v>Online</v>
      </c>
      <c r="P183" s="2" t="str">
        <f t="shared" ca="1" si="73"/>
        <v>Sul</v>
      </c>
      <c r="Q183" s="2" t="str">
        <f t="shared" ca="1" si="74"/>
        <v>SC</v>
      </c>
      <c r="R183" s="2" t="str">
        <f t="shared" ca="1" si="75"/>
        <v>Florianópolis</v>
      </c>
      <c r="S183" s="8">
        <f t="shared" ca="1" si="76"/>
        <v>10</v>
      </c>
      <c r="T183" s="10">
        <f t="shared" ca="1" si="77"/>
        <v>119237</v>
      </c>
      <c r="U183" s="10">
        <f t="shared" ca="1" si="78"/>
        <v>85850.64</v>
      </c>
      <c r="V183" s="10">
        <f t="shared" ca="1" si="79"/>
        <v>1192370</v>
      </c>
      <c r="W183" s="10">
        <f t="shared" ca="1" si="80"/>
        <v>858506.4</v>
      </c>
      <c r="X183" s="10">
        <f t="shared" ca="1" si="81"/>
        <v>333863.59999999998</v>
      </c>
      <c r="Y183" s="12">
        <f t="shared" ca="1" si="82"/>
        <v>0.27999999999999997</v>
      </c>
      <c r="Z183" s="2" t="str">
        <f t="shared" ca="1" si="83"/>
        <v>Em negociação</v>
      </c>
      <c r="AA183" s="8">
        <f t="shared" ca="1" si="84"/>
        <v>18</v>
      </c>
      <c r="AB183" s="2">
        <f t="shared" ca="1" si="85"/>
        <v>20</v>
      </c>
      <c r="AC183" s="2">
        <f t="shared" ca="1" si="86"/>
        <v>10</v>
      </c>
    </row>
    <row r="184" spans="1:29" x14ac:dyDescent="0.25">
      <c r="A184" s="14" t="str">
        <f t="shared" si="58"/>
        <v>VND-00184</v>
      </c>
      <c r="B184" s="5">
        <f t="shared" ca="1" si="59"/>
        <v>45862</v>
      </c>
      <c r="C184" s="2">
        <f t="shared" ca="1" si="60"/>
        <v>2025</v>
      </c>
      <c r="D184" s="2" t="str">
        <f t="shared" ca="1" si="61"/>
        <v>julho</v>
      </c>
      <c r="E184" s="2" t="str">
        <f t="shared" ca="1" si="62"/>
        <v>2025/07</v>
      </c>
      <c r="F184" s="14" t="str">
        <f t="shared" ca="1" si="63"/>
        <v>CLI-7913</v>
      </c>
      <c r="G184" s="2" t="str">
        <f t="shared" ca="1" si="64"/>
        <v>João</v>
      </c>
      <c r="H184" s="2" t="str">
        <f t="shared" ca="1" si="65"/>
        <v>Novo</v>
      </c>
      <c r="I184" s="2" t="str">
        <f t="shared" ca="1" si="66"/>
        <v>Ricardo</v>
      </c>
      <c r="J184" s="14" t="str">
        <f t="shared" ca="1" si="67"/>
        <v>VCL-7379</v>
      </c>
      <c r="K184" s="2" t="str">
        <f t="shared" ca="1" si="68"/>
        <v>Onix</v>
      </c>
      <c r="L184" s="2" t="str">
        <f t="shared" ca="1" si="69"/>
        <v>Chevrolet</v>
      </c>
      <c r="M184" s="2" t="str">
        <f t="shared" ca="1" si="70"/>
        <v>Popular</v>
      </c>
      <c r="N184" s="2">
        <f t="shared" ca="1" si="71"/>
        <v>2017</v>
      </c>
      <c r="O184" s="2" t="str">
        <f t="shared" ca="1" si="72"/>
        <v>Loja</v>
      </c>
      <c r="P184" s="2" t="str">
        <f t="shared" ca="1" si="73"/>
        <v>Norte</v>
      </c>
      <c r="Q184" s="2" t="str">
        <f t="shared" ca="1" si="74"/>
        <v>PA</v>
      </c>
      <c r="R184" s="2" t="str">
        <f t="shared" ca="1" si="75"/>
        <v>Santarém</v>
      </c>
      <c r="S184" s="8">
        <f t="shared" ca="1" si="76"/>
        <v>2</v>
      </c>
      <c r="T184" s="10">
        <f t="shared" ca="1" si="77"/>
        <v>141143</v>
      </c>
      <c r="U184" s="10">
        <f t="shared" ca="1" si="78"/>
        <v>117148.68999999999</v>
      </c>
      <c r="V184" s="10">
        <f t="shared" ca="1" si="79"/>
        <v>282286</v>
      </c>
      <c r="W184" s="10">
        <f t="shared" ca="1" si="80"/>
        <v>234297.37999999998</v>
      </c>
      <c r="X184" s="10">
        <f t="shared" ca="1" si="81"/>
        <v>47988.620000000024</v>
      </c>
      <c r="Y184" s="12">
        <f t="shared" ca="1" si="82"/>
        <v>0.1700000000000001</v>
      </c>
      <c r="Z184" s="2" t="str">
        <f t="shared" ca="1" si="83"/>
        <v>Cancelada</v>
      </c>
      <c r="AA184" s="8">
        <f t="shared" ca="1" si="84"/>
        <v>29</v>
      </c>
      <c r="AB184" s="2">
        <f t="shared" ca="1" si="85"/>
        <v>17</v>
      </c>
      <c r="AC184" s="2">
        <f t="shared" ca="1" si="86"/>
        <v>10</v>
      </c>
    </row>
    <row r="185" spans="1:29" x14ac:dyDescent="0.25">
      <c r="A185" s="14" t="str">
        <f t="shared" si="58"/>
        <v>VND-00185</v>
      </c>
      <c r="B185" s="5">
        <f t="shared" ca="1" si="59"/>
        <v>45485</v>
      </c>
      <c r="C185" s="2">
        <f t="shared" ca="1" si="60"/>
        <v>2024</v>
      </c>
      <c r="D185" s="2" t="str">
        <f t="shared" ca="1" si="61"/>
        <v>julho</v>
      </c>
      <c r="E185" s="2" t="str">
        <f t="shared" ca="1" si="62"/>
        <v>2024/07</v>
      </c>
      <c r="F185" s="14" t="str">
        <f t="shared" ca="1" si="63"/>
        <v>CLI-9855</v>
      </c>
      <c r="G185" s="2" t="str">
        <f t="shared" ca="1" si="64"/>
        <v>Fernanda</v>
      </c>
      <c r="H185" s="2" t="str">
        <f t="shared" ca="1" si="65"/>
        <v>Novo</v>
      </c>
      <c r="I185" s="2" t="str">
        <f t="shared" ca="1" si="66"/>
        <v>Lucas</v>
      </c>
      <c r="J185" s="14" t="str">
        <f t="shared" ca="1" si="67"/>
        <v>VCL-1085</v>
      </c>
      <c r="K185" s="2" t="str">
        <f t="shared" ca="1" si="68"/>
        <v>Corolla</v>
      </c>
      <c r="L185" s="2" t="str">
        <f t="shared" ca="1" si="69"/>
        <v>Toyota</v>
      </c>
      <c r="M185" s="2" t="str">
        <f t="shared" ca="1" si="70"/>
        <v>SUV</v>
      </c>
      <c r="N185" s="2">
        <f t="shared" ca="1" si="71"/>
        <v>2019</v>
      </c>
      <c r="O185" s="2" t="str">
        <f t="shared" ca="1" si="72"/>
        <v>Loja</v>
      </c>
      <c r="P185" s="2" t="str">
        <f t="shared" ca="1" si="73"/>
        <v>Sudeste</v>
      </c>
      <c r="Q185" s="2" t="str">
        <f t="shared" ca="1" si="74"/>
        <v>SP</v>
      </c>
      <c r="R185" s="2" t="str">
        <f t="shared" ca="1" si="75"/>
        <v>Sorocaba</v>
      </c>
      <c r="S185" s="8">
        <f t="shared" ca="1" si="76"/>
        <v>6</v>
      </c>
      <c r="T185" s="10">
        <f t="shared" ca="1" si="77"/>
        <v>177617</v>
      </c>
      <c r="U185" s="10">
        <f t="shared" ca="1" si="78"/>
        <v>131436.57999999999</v>
      </c>
      <c r="V185" s="10">
        <f t="shared" ca="1" si="79"/>
        <v>1065702</v>
      </c>
      <c r="W185" s="10">
        <f t="shared" ca="1" si="80"/>
        <v>788619.48</v>
      </c>
      <c r="X185" s="10">
        <f t="shared" ca="1" si="81"/>
        <v>277082.52</v>
      </c>
      <c r="Y185" s="12">
        <f t="shared" ca="1" si="82"/>
        <v>0.26</v>
      </c>
      <c r="Z185" s="2" t="str">
        <f t="shared" ca="1" si="83"/>
        <v>Em negociação</v>
      </c>
      <c r="AA185" s="8">
        <f t="shared" ca="1" si="84"/>
        <v>28</v>
      </c>
      <c r="AB185" s="2">
        <f t="shared" ca="1" si="85"/>
        <v>5</v>
      </c>
      <c r="AC185" s="2">
        <f t="shared" ca="1" si="86"/>
        <v>7</v>
      </c>
    </row>
    <row r="186" spans="1:29" x14ac:dyDescent="0.25">
      <c r="A186" s="14" t="str">
        <f t="shared" si="58"/>
        <v>VND-00186</v>
      </c>
      <c r="B186" s="5">
        <f t="shared" ca="1" si="59"/>
        <v>46004</v>
      </c>
      <c r="C186" s="2">
        <f t="shared" ca="1" si="60"/>
        <v>2025</v>
      </c>
      <c r="D186" s="2" t="str">
        <f t="shared" ca="1" si="61"/>
        <v>dezembro</v>
      </c>
      <c r="E186" s="2" t="str">
        <f t="shared" ca="1" si="62"/>
        <v>2025/12</v>
      </c>
      <c r="F186" s="14" t="str">
        <f t="shared" ca="1" si="63"/>
        <v>CLI-8220</v>
      </c>
      <c r="G186" s="2" t="str">
        <f t="shared" ca="1" si="64"/>
        <v>Lucas</v>
      </c>
      <c r="H186" s="2" t="str">
        <f t="shared" ca="1" si="65"/>
        <v>Recorrente</v>
      </c>
      <c r="I186" s="2" t="str">
        <f t="shared" ca="1" si="66"/>
        <v>Larissa</v>
      </c>
      <c r="J186" s="14" t="str">
        <f t="shared" ca="1" si="67"/>
        <v>VCL-3228</v>
      </c>
      <c r="K186" s="2" t="str">
        <f t="shared" ca="1" si="68"/>
        <v>Compass</v>
      </c>
      <c r="L186" s="2" t="str">
        <f t="shared" ca="1" si="69"/>
        <v>Jeep</v>
      </c>
      <c r="M186" s="2" t="str">
        <f t="shared" ca="1" si="70"/>
        <v>SUV</v>
      </c>
      <c r="N186" s="2">
        <f t="shared" ca="1" si="71"/>
        <v>2024</v>
      </c>
      <c r="O186" s="2" t="str">
        <f t="shared" ca="1" si="72"/>
        <v>Online</v>
      </c>
      <c r="P186" s="2" t="str">
        <f t="shared" ca="1" si="73"/>
        <v>Centro-Oeste</v>
      </c>
      <c r="Q186" s="2" t="str">
        <f t="shared" ca="1" si="74"/>
        <v>GO</v>
      </c>
      <c r="R186" s="2" t="str">
        <f t="shared" ca="1" si="75"/>
        <v>Luziânia</v>
      </c>
      <c r="S186" s="8">
        <f t="shared" ca="1" si="76"/>
        <v>4</v>
      </c>
      <c r="T186" s="10">
        <f t="shared" ca="1" si="77"/>
        <v>185051</v>
      </c>
      <c r="U186" s="10">
        <f t="shared" ca="1" si="78"/>
        <v>131386.21</v>
      </c>
      <c r="V186" s="10">
        <f t="shared" ca="1" si="79"/>
        <v>740204</v>
      </c>
      <c r="W186" s="10">
        <f t="shared" ca="1" si="80"/>
        <v>525544.84</v>
      </c>
      <c r="X186" s="10">
        <f t="shared" ca="1" si="81"/>
        <v>214659.16000000003</v>
      </c>
      <c r="Y186" s="12">
        <f t="shared" ca="1" si="82"/>
        <v>0.29000000000000004</v>
      </c>
      <c r="Z186" s="2" t="str">
        <f t="shared" ca="1" si="83"/>
        <v>Cancelada</v>
      </c>
      <c r="AA186" s="8">
        <f t="shared" ca="1" si="84"/>
        <v>23</v>
      </c>
      <c r="AB186" s="2">
        <f t="shared" ca="1" si="85"/>
        <v>5</v>
      </c>
      <c r="AC186" s="2">
        <f t="shared" ca="1" si="86"/>
        <v>7</v>
      </c>
    </row>
    <row r="187" spans="1:29" x14ac:dyDescent="0.25">
      <c r="A187" s="14" t="str">
        <f t="shared" si="58"/>
        <v>VND-00187</v>
      </c>
      <c r="B187" s="5">
        <f t="shared" ca="1" si="59"/>
        <v>45804</v>
      </c>
      <c r="C187" s="2">
        <f t="shared" ca="1" si="60"/>
        <v>2025</v>
      </c>
      <c r="D187" s="2" t="str">
        <f t="shared" ca="1" si="61"/>
        <v>maio</v>
      </c>
      <c r="E187" s="2" t="str">
        <f t="shared" ca="1" si="62"/>
        <v>2025/05</v>
      </c>
      <c r="F187" s="14" t="str">
        <f t="shared" ca="1" si="63"/>
        <v>CLI-4076</v>
      </c>
      <c r="G187" s="2" t="str">
        <f t="shared" ca="1" si="64"/>
        <v>João</v>
      </c>
      <c r="H187" s="2" t="str">
        <f t="shared" ca="1" si="65"/>
        <v>Recorrente</v>
      </c>
      <c r="I187" s="2" t="str">
        <f t="shared" ca="1" si="66"/>
        <v>Roberto</v>
      </c>
      <c r="J187" s="14" t="str">
        <f t="shared" ca="1" si="67"/>
        <v>VCL-1691</v>
      </c>
      <c r="K187" s="2" t="str">
        <f t="shared" ca="1" si="68"/>
        <v>Corolla</v>
      </c>
      <c r="L187" s="2" t="str">
        <f t="shared" ca="1" si="69"/>
        <v>Toyota</v>
      </c>
      <c r="M187" s="2" t="str">
        <f t="shared" ca="1" si="70"/>
        <v>SUV</v>
      </c>
      <c r="N187" s="2">
        <f t="shared" ca="1" si="71"/>
        <v>2023</v>
      </c>
      <c r="O187" s="2" t="str">
        <f t="shared" ca="1" si="72"/>
        <v>Loja</v>
      </c>
      <c r="P187" s="2" t="str">
        <f t="shared" ca="1" si="73"/>
        <v>Nordeste</v>
      </c>
      <c r="Q187" s="2" t="str">
        <f t="shared" ca="1" si="74"/>
        <v>PE</v>
      </c>
      <c r="R187" s="2" t="str">
        <f t="shared" ca="1" si="75"/>
        <v>Olinda</v>
      </c>
      <c r="S187" s="8">
        <f t="shared" ca="1" si="76"/>
        <v>6</v>
      </c>
      <c r="T187" s="10">
        <f t="shared" ca="1" si="77"/>
        <v>129870</v>
      </c>
      <c r="U187" s="10">
        <f t="shared" ca="1" si="78"/>
        <v>101298.6</v>
      </c>
      <c r="V187" s="10">
        <f t="shared" ca="1" si="79"/>
        <v>779220</v>
      </c>
      <c r="W187" s="10">
        <f t="shared" ca="1" si="80"/>
        <v>607791.60000000009</v>
      </c>
      <c r="X187" s="10">
        <f t="shared" ca="1" si="81"/>
        <v>171428.39999999991</v>
      </c>
      <c r="Y187" s="12">
        <f t="shared" ca="1" si="82"/>
        <v>0.21999999999999989</v>
      </c>
      <c r="Z187" s="2" t="str">
        <f t="shared" ca="1" si="83"/>
        <v>Cancelada</v>
      </c>
      <c r="AA187" s="8">
        <f t="shared" ca="1" si="84"/>
        <v>1</v>
      </c>
      <c r="AB187" s="2">
        <f t="shared" ca="1" si="85"/>
        <v>12</v>
      </c>
      <c r="AC187" s="2">
        <f t="shared" ca="1" si="86"/>
        <v>7</v>
      </c>
    </row>
    <row r="188" spans="1:29" x14ac:dyDescent="0.25">
      <c r="A188" s="14" t="str">
        <f t="shared" si="58"/>
        <v>VND-00188</v>
      </c>
      <c r="B188" s="5">
        <f t="shared" ca="1" si="59"/>
        <v>45774</v>
      </c>
      <c r="C188" s="2">
        <f t="shared" ca="1" si="60"/>
        <v>2025</v>
      </c>
      <c r="D188" s="2" t="str">
        <f t="shared" ca="1" si="61"/>
        <v>abril</v>
      </c>
      <c r="E188" s="2" t="str">
        <f t="shared" ca="1" si="62"/>
        <v>2025/04</v>
      </c>
      <c r="F188" s="14" t="str">
        <f t="shared" ca="1" si="63"/>
        <v>CLI-5894</v>
      </c>
      <c r="G188" s="2" t="str">
        <f t="shared" ca="1" si="64"/>
        <v>Juliana</v>
      </c>
      <c r="H188" s="2" t="str">
        <f t="shared" ca="1" si="65"/>
        <v>Recorrente</v>
      </c>
      <c r="I188" s="2" t="str">
        <f t="shared" ca="1" si="66"/>
        <v>João</v>
      </c>
      <c r="J188" s="14" t="str">
        <f t="shared" ca="1" si="67"/>
        <v>VCL-1389</v>
      </c>
      <c r="K188" s="2" t="str">
        <f t="shared" ca="1" si="68"/>
        <v>Civic</v>
      </c>
      <c r="L188" s="2" t="str">
        <f t="shared" ca="1" si="69"/>
        <v>Honda</v>
      </c>
      <c r="M188" s="2" t="str">
        <f t="shared" ca="1" si="70"/>
        <v>SUV</v>
      </c>
      <c r="N188" s="2">
        <f t="shared" ca="1" si="71"/>
        <v>2020</v>
      </c>
      <c r="O188" s="2" t="str">
        <f t="shared" ca="1" si="72"/>
        <v>Loja</v>
      </c>
      <c r="P188" s="2" t="str">
        <f t="shared" ca="1" si="73"/>
        <v>Sudeste</v>
      </c>
      <c r="Q188" s="2" t="str">
        <f t="shared" ca="1" si="74"/>
        <v>ES</v>
      </c>
      <c r="R188" s="2" t="str">
        <f t="shared" ca="1" si="75"/>
        <v>Vila Velha</v>
      </c>
      <c r="S188" s="8">
        <f t="shared" ca="1" si="76"/>
        <v>10</v>
      </c>
      <c r="T188" s="10">
        <f t="shared" ca="1" si="77"/>
        <v>157326</v>
      </c>
      <c r="U188" s="10">
        <f t="shared" ca="1" si="78"/>
        <v>125860.8</v>
      </c>
      <c r="V188" s="10">
        <f t="shared" ca="1" si="79"/>
        <v>1573260</v>
      </c>
      <c r="W188" s="10">
        <f t="shared" ca="1" si="80"/>
        <v>1258608</v>
      </c>
      <c r="X188" s="10">
        <f t="shared" ca="1" si="81"/>
        <v>314652</v>
      </c>
      <c r="Y188" s="12">
        <f t="shared" ca="1" si="82"/>
        <v>0.2</v>
      </c>
      <c r="Z188" s="2" t="str">
        <f t="shared" ca="1" si="83"/>
        <v>Em negociação</v>
      </c>
      <c r="AA188" s="8">
        <f t="shared" ca="1" si="84"/>
        <v>2</v>
      </c>
      <c r="AB188" s="2">
        <f t="shared" ca="1" si="85"/>
        <v>11</v>
      </c>
      <c r="AC188" s="2">
        <f t="shared" ca="1" si="86"/>
        <v>7</v>
      </c>
    </row>
    <row r="189" spans="1:29" x14ac:dyDescent="0.25">
      <c r="A189" s="14" t="str">
        <f t="shared" si="58"/>
        <v>VND-00189</v>
      </c>
      <c r="B189" s="5">
        <f t="shared" ca="1" si="59"/>
        <v>45567</v>
      </c>
      <c r="C189" s="2">
        <f t="shared" ca="1" si="60"/>
        <v>2024</v>
      </c>
      <c r="D189" s="2" t="str">
        <f t="shared" ca="1" si="61"/>
        <v>outubro</v>
      </c>
      <c r="E189" s="2" t="str">
        <f t="shared" ca="1" si="62"/>
        <v>2024/10</v>
      </c>
      <c r="F189" s="14" t="str">
        <f t="shared" ca="1" si="63"/>
        <v>CLI-2349</v>
      </c>
      <c r="G189" s="2" t="str">
        <f t="shared" ca="1" si="64"/>
        <v>Maria</v>
      </c>
      <c r="H189" s="2" t="str">
        <f t="shared" ca="1" si="65"/>
        <v>Novo</v>
      </c>
      <c r="I189" s="2" t="str">
        <f t="shared" ca="1" si="66"/>
        <v>Gustavo</v>
      </c>
      <c r="J189" s="14" t="str">
        <f t="shared" ca="1" si="67"/>
        <v>VCL-4484</v>
      </c>
      <c r="K189" s="2" t="str">
        <f t="shared" ca="1" si="68"/>
        <v>BMW X1</v>
      </c>
      <c r="L189" s="2" t="str">
        <f t="shared" ca="1" si="69"/>
        <v>BMW</v>
      </c>
      <c r="M189" s="2" t="str">
        <f t="shared" ca="1" si="70"/>
        <v>Luxo</v>
      </c>
      <c r="N189" s="2">
        <f t="shared" ca="1" si="71"/>
        <v>2020</v>
      </c>
      <c r="O189" s="2" t="str">
        <f t="shared" ca="1" si="72"/>
        <v>Loja</v>
      </c>
      <c r="P189" s="2" t="str">
        <f t="shared" ca="1" si="73"/>
        <v>Centro-Oeste</v>
      </c>
      <c r="Q189" s="2" t="str">
        <f t="shared" ca="1" si="74"/>
        <v>MT</v>
      </c>
      <c r="R189" s="2" t="str">
        <f t="shared" ca="1" si="75"/>
        <v>Sinop</v>
      </c>
      <c r="S189" s="8">
        <f t="shared" ca="1" si="76"/>
        <v>9</v>
      </c>
      <c r="T189" s="10">
        <f t="shared" ca="1" si="77"/>
        <v>68868</v>
      </c>
      <c r="U189" s="10">
        <f t="shared" ca="1" si="78"/>
        <v>57849.119999999995</v>
      </c>
      <c r="V189" s="10">
        <f t="shared" ca="1" si="79"/>
        <v>619812</v>
      </c>
      <c r="W189" s="10">
        <f t="shared" ca="1" si="80"/>
        <v>520642.07999999996</v>
      </c>
      <c r="X189" s="10">
        <f t="shared" ca="1" si="81"/>
        <v>99169.920000000042</v>
      </c>
      <c r="Y189" s="12">
        <f t="shared" ca="1" si="82"/>
        <v>0.16000000000000006</v>
      </c>
      <c r="Z189" s="2" t="str">
        <f t="shared" ca="1" si="83"/>
        <v>Cancelada</v>
      </c>
      <c r="AA189" s="8">
        <f t="shared" ca="1" si="84"/>
        <v>8</v>
      </c>
      <c r="AB189" s="2">
        <f t="shared" ca="1" si="85"/>
        <v>3</v>
      </c>
      <c r="AC189" s="2">
        <f t="shared" ca="1" si="86"/>
        <v>3</v>
      </c>
    </row>
    <row r="190" spans="1:29" x14ac:dyDescent="0.25">
      <c r="A190" s="14" t="str">
        <f t="shared" si="58"/>
        <v>VND-00190</v>
      </c>
      <c r="B190" s="5">
        <f t="shared" ca="1" si="59"/>
        <v>45054</v>
      </c>
      <c r="C190" s="2">
        <f t="shared" ca="1" si="60"/>
        <v>2023</v>
      </c>
      <c r="D190" s="2" t="str">
        <f t="shared" ca="1" si="61"/>
        <v>maio</v>
      </c>
      <c r="E190" s="2" t="str">
        <f t="shared" ca="1" si="62"/>
        <v>2023/05</v>
      </c>
      <c r="F190" s="14" t="str">
        <f t="shared" ca="1" si="63"/>
        <v>CLI-9953</v>
      </c>
      <c r="G190" s="2" t="str">
        <f t="shared" ca="1" si="64"/>
        <v>Maria</v>
      </c>
      <c r="H190" s="2" t="str">
        <f t="shared" ca="1" si="65"/>
        <v>Recorrente</v>
      </c>
      <c r="I190" s="2" t="str">
        <f t="shared" ca="1" si="66"/>
        <v>Rafael</v>
      </c>
      <c r="J190" s="14" t="str">
        <f t="shared" ca="1" si="67"/>
        <v>VCL-8452</v>
      </c>
      <c r="K190" s="2" t="str">
        <f t="shared" ca="1" si="68"/>
        <v>BMW X1</v>
      </c>
      <c r="L190" s="2" t="str">
        <f t="shared" ca="1" si="69"/>
        <v>BMW</v>
      </c>
      <c r="M190" s="2" t="str">
        <f t="shared" ca="1" si="70"/>
        <v>Luxo</v>
      </c>
      <c r="N190" s="2">
        <f t="shared" ca="1" si="71"/>
        <v>2022</v>
      </c>
      <c r="O190" s="2" t="str">
        <f t="shared" ca="1" si="72"/>
        <v>Loja</v>
      </c>
      <c r="P190" s="2" t="str">
        <f t="shared" ca="1" si="73"/>
        <v>Sul</v>
      </c>
      <c r="Q190" s="2" t="str">
        <f t="shared" ca="1" si="74"/>
        <v>PR</v>
      </c>
      <c r="R190" s="2" t="str">
        <f t="shared" ca="1" si="75"/>
        <v>Maringá</v>
      </c>
      <c r="S190" s="8">
        <f t="shared" ca="1" si="76"/>
        <v>2</v>
      </c>
      <c r="T190" s="10">
        <f t="shared" ca="1" si="77"/>
        <v>161084</v>
      </c>
      <c r="U190" s="10">
        <f t="shared" ca="1" si="78"/>
        <v>127256.36</v>
      </c>
      <c r="V190" s="10">
        <f t="shared" ca="1" si="79"/>
        <v>322168</v>
      </c>
      <c r="W190" s="10">
        <f t="shared" ca="1" si="80"/>
        <v>254512.72</v>
      </c>
      <c r="X190" s="10">
        <f t="shared" ca="1" si="81"/>
        <v>67655.28</v>
      </c>
      <c r="Y190" s="12">
        <f t="shared" ca="1" si="82"/>
        <v>0.21</v>
      </c>
      <c r="Z190" s="2" t="str">
        <f t="shared" ca="1" si="83"/>
        <v>Concluída</v>
      </c>
      <c r="AA190" s="8">
        <f t="shared" ca="1" si="84"/>
        <v>4</v>
      </c>
      <c r="AB190" s="2">
        <f t="shared" ca="1" si="85"/>
        <v>6</v>
      </c>
      <c r="AC190" s="2">
        <f t="shared" ca="1" si="86"/>
        <v>3</v>
      </c>
    </row>
    <row r="191" spans="1:29" x14ac:dyDescent="0.25">
      <c r="A191" s="14" t="str">
        <f t="shared" si="58"/>
        <v>VND-00191</v>
      </c>
      <c r="B191" s="5">
        <f t="shared" ca="1" si="59"/>
        <v>45283</v>
      </c>
      <c r="C191" s="2">
        <f t="shared" ca="1" si="60"/>
        <v>2023</v>
      </c>
      <c r="D191" s="2" t="str">
        <f t="shared" ca="1" si="61"/>
        <v>dezembro</v>
      </c>
      <c r="E191" s="2" t="str">
        <f t="shared" ca="1" si="62"/>
        <v>2023/12</v>
      </c>
      <c r="F191" s="14" t="str">
        <f t="shared" ca="1" si="63"/>
        <v>CLI-7310</v>
      </c>
      <c r="G191" s="2" t="str">
        <f t="shared" ca="1" si="64"/>
        <v>Carlos</v>
      </c>
      <c r="H191" s="2" t="str">
        <f t="shared" ca="1" si="65"/>
        <v>Recorrente</v>
      </c>
      <c r="I191" s="2" t="str">
        <f t="shared" ca="1" si="66"/>
        <v>Marcos</v>
      </c>
      <c r="J191" s="14" t="str">
        <f t="shared" ca="1" si="67"/>
        <v>VCL-8191</v>
      </c>
      <c r="K191" s="2" t="str">
        <f t="shared" ca="1" si="68"/>
        <v>Onix</v>
      </c>
      <c r="L191" s="2" t="str">
        <f t="shared" ca="1" si="69"/>
        <v>Chevrolet</v>
      </c>
      <c r="M191" s="2" t="str">
        <f t="shared" ca="1" si="70"/>
        <v>Popular</v>
      </c>
      <c r="N191" s="2">
        <f t="shared" ca="1" si="71"/>
        <v>2020</v>
      </c>
      <c r="O191" s="2" t="str">
        <f t="shared" ca="1" si="72"/>
        <v>Loja</v>
      </c>
      <c r="P191" s="2" t="str">
        <f t="shared" ca="1" si="73"/>
        <v>Sul</v>
      </c>
      <c r="Q191" s="2" t="str">
        <f t="shared" ca="1" si="74"/>
        <v>SC</v>
      </c>
      <c r="R191" s="2" t="str">
        <f t="shared" ca="1" si="75"/>
        <v>Florianópolis</v>
      </c>
      <c r="S191" s="8">
        <f t="shared" ca="1" si="76"/>
        <v>1</v>
      </c>
      <c r="T191" s="10">
        <f t="shared" ca="1" si="77"/>
        <v>120568</v>
      </c>
      <c r="U191" s="10">
        <f t="shared" ca="1" si="78"/>
        <v>100071.44</v>
      </c>
      <c r="V191" s="10">
        <f t="shared" ca="1" si="79"/>
        <v>120568</v>
      </c>
      <c r="W191" s="10">
        <f t="shared" ca="1" si="80"/>
        <v>100071.44</v>
      </c>
      <c r="X191" s="10">
        <f t="shared" ca="1" si="81"/>
        <v>20496.559999999998</v>
      </c>
      <c r="Y191" s="12">
        <f t="shared" ca="1" si="82"/>
        <v>0.16999999999999998</v>
      </c>
      <c r="Z191" s="2" t="str">
        <f t="shared" ca="1" si="83"/>
        <v>Concluída</v>
      </c>
      <c r="AA191" s="8">
        <f t="shared" ca="1" si="84"/>
        <v>23</v>
      </c>
      <c r="AB191" s="2">
        <f t="shared" ca="1" si="85"/>
        <v>30</v>
      </c>
      <c r="AC191" s="2">
        <f t="shared" ca="1" si="86"/>
        <v>10</v>
      </c>
    </row>
    <row r="192" spans="1:29" x14ac:dyDescent="0.25">
      <c r="A192" s="14" t="str">
        <f t="shared" si="58"/>
        <v>VND-00192</v>
      </c>
      <c r="B192" s="5">
        <f t="shared" ca="1" si="59"/>
        <v>45671</v>
      </c>
      <c r="C192" s="2">
        <f t="shared" ca="1" si="60"/>
        <v>2025</v>
      </c>
      <c r="D192" s="2" t="str">
        <f t="shared" ca="1" si="61"/>
        <v>janeiro</v>
      </c>
      <c r="E192" s="2" t="str">
        <f t="shared" ca="1" si="62"/>
        <v>2025/01</v>
      </c>
      <c r="F192" s="14" t="str">
        <f t="shared" ca="1" si="63"/>
        <v>CLI-8815</v>
      </c>
      <c r="G192" s="2" t="str">
        <f t="shared" ca="1" si="64"/>
        <v>Juliana</v>
      </c>
      <c r="H192" s="2" t="str">
        <f t="shared" ca="1" si="65"/>
        <v>Novo</v>
      </c>
      <c r="I192" s="2" t="str">
        <f t="shared" ca="1" si="66"/>
        <v>Rafael</v>
      </c>
      <c r="J192" s="14" t="str">
        <f t="shared" ca="1" si="67"/>
        <v>VCL-5908</v>
      </c>
      <c r="K192" s="2" t="str">
        <f t="shared" ca="1" si="68"/>
        <v>HB20</v>
      </c>
      <c r="L192" s="2" t="str">
        <f t="shared" ca="1" si="69"/>
        <v>Hyundai</v>
      </c>
      <c r="M192" s="2" t="str">
        <f t="shared" ca="1" si="70"/>
        <v>Popular</v>
      </c>
      <c r="N192" s="2">
        <f t="shared" ca="1" si="71"/>
        <v>2017</v>
      </c>
      <c r="O192" s="2" t="str">
        <f t="shared" ca="1" si="72"/>
        <v>Loja</v>
      </c>
      <c r="P192" s="2" t="str">
        <f t="shared" ca="1" si="73"/>
        <v>Sul</v>
      </c>
      <c r="Q192" s="2" t="str">
        <f t="shared" ca="1" si="74"/>
        <v>PR</v>
      </c>
      <c r="R192" s="2" t="str">
        <f t="shared" ca="1" si="75"/>
        <v>Cascavel</v>
      </c>
      <c r="S192" s="8">
        <f t="shared" ca="1" si="76"/>
        <v>3</v>
      </c>
      <c r="T192" s="10">
        <f t="shared" ca="1" si="77"/>
        <v>126111</v>
      </c>
      <c r="U192" s="10">
        <f t="shared" ca="1" si="78"/>
        <v>90799.92</v>
      </c>
      <c r="V192" s="10">
        <f t="shared" ca="1" si="79"/>
        <v>378333</v>
      </c>
      <c r="W192" s="10">
        <f t="shared" ca="1" si="80"/>
        <v>272399.76</v>
      </c>
      <c r="X192" s="10">
        <f t="shared" ca="1" si="81"/>
        <v>105933.23999999999</v>
      </c>
      <c r="Y192" s="12">
        <f t="shared" ca="1" si="82"/>
        <v>0.27999999999999997</v>
      </c>
      <c r="Z192" s="2" t="str">
        <f t="shared" ca="1" si="83"/>
        <v>Em negociação</v>
      </c>
      <c r="AA192" s="8">
        <f t="shared" ca="1" si="84"/>
        <v>12</v>
      </c>
      <c r="AB192" s="2">
        <f t="shared" ca="1" si="85"/>
        <v>20</v>
      </c>
      <c r="AC192" s="2">
        <f t="shared" ca="1" si="86"/>
        <v>10</v>
      </c>
    </row>
    <row r="193" spans="1:29" x14ac:dyDescent="0.25">
      <c r="A193" s="14" t="str">
        <f t="shared" si="58"/>
        <v>VND-00193</v>
      </c>
      <c r="B193" s="5">
        <f t="shared" ca="1" si="59"/>
        <v>45049</v>
      </c>
      <c r="C193" s="2">
        <f t="shared" ca="1" si="60"/>
        <v>2023</v>
      </c>
      <c r="D193" s="2" t="str">
        <f t="shared" ca="1" si="61"/>
        <v>maio</v>
      </c>
      <c r="E193" s="2" t="str">
        <f t="shared" ca="1" si="62"/>
        <v>2023/05</v>
      </c>
      <c r="F193" s="14" t="str">
        <f t="shared" ca="1" si="63"/>
        <v>CLI-6891</v>
      </c>
      <c r="G193" s="2" t="str">
        <f t="shared" ca="1" si="64"/>
        <v>Juliana</v>
      </c>
      <c r="H193" s="2" t="str">
        <f t="shared" ca="1" si="65"/>
        <v>Recorrente</v>
      </c>
      <c r="I193" s="2" t="str">
        <f t="shared" ca="1" si="66"/>
        <v>Tatiane</v>
      </c>
      <c r="J193" s="14" t="str">
        <f t="shared" ca="1" si="67"/>
        <v>VCL-2625</v>
      </c>
      <c r="K193" s="2" t="str">
        <f t="shared" ca="1" si="68"/>
        <v>Corolla</v>
      </c>
      <c r="L193" s="2" t="str">
        <f t="shared" ca="1" si="69"/>
        <v>Toyota</v>
      </c>
      <c r="M193" s="2" t="str">
        <f t="shared" ca="1" si="70"/>
        <v>SUV</v>
      </c>
      <c r="N193" s="2">
        <f t="shared" ca="1" si="71"/>
        <v>2016</v>
      </c>
      <c r="O193" s="2" t="str">
        <f t="shared" ca="1" si="72"/>
        <v>Online</v>
      </c>
      <c r="P193" s="2" t="str">
        <f t="shared" ca="1" si="73"/>
        <v>Norte</v>
      </c>
      <c r="Q193" s="2" t="str">
        <f t="shared" ca="1" si="74"/>
        <v>PA</v>
      </c>
      <c r="R193" s="2" t="str">
        <f t="shared" ca="1" si="75"/>
        <v>Castanhal</v>
      </c>
      <c r="S193" s="8">
        <f t="shared" ca="1" si="76"/>
        <v>7</v>
      </c>
      <c r="T193" s="10">
        <f t="shared" ca="1" si="77"/>
        <v>121383</v>
      </c>
      <c r="U193" s="10">
        <f t="shared" ca="1" si="78"/>
        <v>101961.72</v>
      </c>
      <c r="V193" s="10">
        <f t="shared" ca="1" si="79"/>
        <v>849681</v>
      </c>
      <c r="W193" s="10">
        <f t="shared" ca="1" si="80"/>
        <v>713732.04</v>
      </c>
      <c r="X193" s="10">
        <f t="shared" ca="1" si="81"/>
        <v>135948.95999999996</v>
      </c>
      <c r="Y193" s="12">
        <f t="shared" ca="1" si="82"/>
        <v>0.15999999999999995</v>
      </c>
      <c r="Z193" s="2" t="str">
        <f t="shared" ca="1" si="83"/>
        <v>Em negociação</v>
      </c>
      <c r="AA193" s="8">
        <f t="shared" ca="1" si="84"/>
        <v>11</v>
      </c>
      <c r="AB193" s="2">
        <f t="shared" ca="1" si="85"/>
        <v>13</v>
      </c>
      <c r="AC193" s="2">
        <f t="shared" ca="1" si="86"/>
        <v>7</v>
      </c>
    </row>
    <row r="194" spans="1:29" x14ac:dyDescent="0.25">
      <c r="A194" s="14" t="str">
        <f t="shared" si="58"/>
        <v>VND-00194</v>
      </c>
      <c r="B194" s="5">
        <f t="shared" ca="1" si="59"/>
        <v>45096</v>
      </c>
      <c r="C194" s="2">
        <f t="shared" ca="1" si="60"/>
        <v>2023</v>
      </c>
      <c r="D194" s="2" t="str">
        <f t="shared" ca="1" si="61"/>
        <v>junho</v>
      </c>
      <c r="E194" s="2" t="str">
        <f t="shared" ca="1" si="62"/>
        <v>2023/06</v>
      </c>
      <c r="F194" s="14" t="str">
        <f t="shared" ca="1" si="63"/>
        <v>CLI-3626</v>
      </c>
      <c r="G194" s="2" t="str">
        <f t="shared" ca="1" si="64"/>
        <v>Carlos</v>
      </c>
      <c r="H194" s="2" t="str">
        <f t="shared" ca="1" si="65"/>
        <v>Recorrente</v>
      </c>
      <c r="I194" s="2" t="str">
        <f t="shared" ca="1" si="66"/>
        <v>Diego</v>
      </c>
      <c r="J194" s="14" t="str">
        <f t="shared" ca="1" si="67"/>
        <v>VCL-2809</v>
      </c>
      <c r="K194" s="2" t="str">
        <f t="shared" ca="1" si="68"/>
        <v>Civic</v>
      </c>
      <c r="L194" s="2" t="str">
        <f t="shared" ca="1" si="69"/>
        <v>Honda</v>
      </c>
      <c r="M194" s="2" t="str">
        <f t="shared" ca="1" si="70"/>
        <v>SUV</v>
      </c>
      <c r="N194" s="2">
        <f t="shared" ca="1" si="71"/>
        <v>2024</v>
      </c>
      <c r="O194" s="2" t="str">
        <f t="shared" ca="1" si="72"/>
        <v>Loja</v>
      </c>
      <c r="P194" s="2" t="str">
        <f t="shared" ca="1" si="73"/>
        <v>Nordeste</v>
      </c>
      <c r="Q194" s="2" t="str">
        <f t="shared" ca="1" si="74"/>
        <v>PE</v>
      </c>
      <c r="R194" s="2" t="str">
        <f t="shared" ca="1" si="75"/>
        <v>Recife</v>
      </c>
      <c r="S194" s="8">
        <f t="shared" ca="1" si="76"/>
        <v>7</v>
      </c>
      <c r="T194" s="10">
        <f t="shared" ca="1" si="77"/>
        <v>101613</v>
      </c>
      <c r="U194" s="10">
        <f t="shared" ca="1" si="78"/>
        <v>86371.05</v>
      </c>
      <c r="V194" s="10">
        <f t="shared" ca="1" si="79"/>
        <v>711291</v>
      </c>
      <c r="W194" s="10">
        <f t="shared" ca="1" si="80"/>
        <v>604597.35</v>
      </c>
      <c r="X194" s="10">
        <f t="shared" ca="1" si="81"/>
        <v>106693.65000000002</v>
      </c>
      <c r="Y194" s="12">
        <f t="shared" ca="1" si="82"/>
        <v>0.15000000000000002</v>
      </c>
      <c r="Z194" s="2" t="str">
        <f t="shared" ca="1" si="83"/>
        <v>Concluída</v>
      </c>
      <c r="AA194" s="8">
        <f t="shared" ca="1" si="84"/>
        <v>10</v>
      </c>
      <c r="AB194" s="2">
        <f t="shared" ca="1" si="85"/>
        <v>17</v>
      </c>
      <c r="AC194" s="2">
        <f t="shared" ca="1" si="86"/>
        <v>7</v>
      </c>
    </row>
    <row r="195" spans="1:29" x14ac:dyDescent="0.25">
      <c r="A195" s="14" t="str">
        <f t="shared" ref="A195:A258" si="87">"VND-"&amp;TEXT(ROW(A195),"00000")</f>
        <v>VND-00195</v>
      </c>
      <c r="B195" s="5">
        <f t="shared" ref="B195:B258" ca="1" si="88">DATE(RANDBETWEEN(2023,2025),RANDBETWEEN(1,12),RANDBETWEEN(1,28))</f>
        <v>45420</v>
      </c>
      <c r="C195" s="2">
        <f t="shared" ref="C195:C258" ca="1" si="89">YEAR(B195)</f>
        <v>2024</v>
      </c>
      <c r="D195" s="2" t="str">
        <f t="shared" ref="D195:D258" ca="1" si="90">TEXT(B195,"mmmm")</f>
        <v>maio</v>
      </c>
      <c r="E195" s="2" t="str">
        <f t="shared" ref="E195:E258" ca="1" si="91">YEAR(B195)&amp;"/"&amp;TEXT(MONTH(B195),"00")</f>
        <v>2024/05</v>
      </c>
      <c r="F195" s="14" t="str">
        <f t="shared" ref="F195:F258" ca="1" si="92">"CLI-"&amp;RANDBETWEEN(1000,9999)</f>
        <v>CLI-4380</v>
      </c>
      <c r="G195" s="2" t="str">
        <f t="shared" ref="G195:G258" ca="1" si="93">CHOOSE(RANDBETWEEN(1,8),
"João","Maria","Carlos","Ana",
"Lucas","Fernanda","Rafael","Juliana")</f>
        <v>Lucas</v>
      </c>
      <c r="H195" s="2" t="str">
        <f t="shared" ref="H195:H258" ca="1" si="94">IF(RANDBETWEEN(1,10)&gt;6,"Recorrente","Novo")</f>
        <v>Recorrente</v>
      </c>
      <c r="I195" s="2" t="str">
        <f t="shared" ref="I195:I258" ca="1" si="95">IF(P195="Sudeste",CHOOSE(RANDBETWEEN(1,5),"João","Maria","Pedro","Ana","Lucas"),
IF(P195="Sul",CHOOSE(RANDBETWEEN(1,5),"Bruno","Carla","Rafael","Juliana","Marcos"),
IF(P195="Nordeste",CHOOSE(RANDBETWEEN(1,5),"Diego","Fernanda","Roberto","Patricia","André"),
IF(P195="Norte",CHOOSE(RANDBETWEEN(1,5),"Carlos","Amanda","Ricardo","Tatiane","Felipe"),
IF(P195="Centro-Oeste",CHOOSE(RANDBETWEEN(1,5),"Gustavo","Camila","Vinicius","Larissa","Eduardo"),
"")))))</f>
        <v>Vinicius</v>
      </c>
      <c r="J195" s="14" t="str">
        <f t="shared" ref="J195:J258" ca="1" si="96">"VCL-"&amp;RANDBETWEEN(1000,9999)</f>
        <v>VCL-9742</v>
      </c>
      <c r="K195" s="2" t="str">
        <f t="shared" ref="K195:K258" ca="1" si="97">CHOOSE(RANDBETWEEN(1,6),
"Onix","HB20","Corolla","Civic","Compass","BMW X1")</f>
        <v>BMW X1</v>
      </c>
      <c r="L195" s="2" t="str">
        <f t="shared" ref="L195:L258" ca="1" si="98">IF(OR(K195="Onix",K195="Tracker"),"Chevrolet",
IF(OR(K195="HB20"),"Hyundai",
IF(OR(K195="Corolla"),"Toyota",
IF(OR(K195="Civic"),"Honda",
IF(OR(K195="Compass"),"Jeep",
"BMW")))))</f>
        <v>BMW</v>
      </c>
      <c r="M195" s="2" t="str">
        <f t="shared" ref="M195:M258" ca="1" si="99">IF(OR(K195="Onix",K195="HB20"),"Popular",
IF(OR(K195="Corolla",K195="Civic"),"SUV",
IF(K195="Compass","SUV",
IF(K195="BMW X1","Luxo","Esportivo"))))</f>
        <v>Luxo</v>
      </c>
      <c r="N195" s="2">
        <f t="shared" ref="N195:N258" ca="1" si="100">IF(RANDBETWEEN(1,10)&lt;=7,RANDBETWEEN(2020,2024),RANDBETWEEN(2015,2019))</f>
        <v>2022</v>
      </c>
      <c r="O195" s="2" t="str">
        <f t="shared" ref="O195:O258" ca="1" si="101">IF(RANDBETWEEN(1,10)&lt;=7,"Loja","Online")</f>
        <v>Loja</v>
      </c>
      <c r="P195" s="2" t="str">
        <f t="shared" ref="P195:P258" ca="1" si="102">CHOOSE(RANDBETWEEN(1,5),"Sudeste","Sul","Nordeste","Norte","Centro-Oeste")</f>
        <v>Centro-Oeste</v>
      </c>
      <c r="Q195" s="2" t="str">
        <f t="shared" ref="Q195:Q258" ca="1" si="103">IF(P195="Sudeste",CHOOSE(RANDBETWEEN(1,4),"SP","RJ","MG","ES"),
IF(P195="Sul",CHOOSE(RANDBETWEEN(1,3),"PR","SC","RS"),
IF(P195="Nordeste",CHOOSE(RANDBETWEEN(1,3),"BA","PE","CE"),
IF(P195="Centro-Oeste",CHOOSE(RANDBETWEEN(1,3),"GO","MT","DF"),
IF(P195="Norte",CHOOSE(RANDBETWEEN(1,2),"AM","PA"),
"GO")))))</f>
        <v>MT</v>
      </c>
      <c r="R195" s="2" t="str">
        <f t="shared" ref="R195:R258" ca="1" si="104">IF(Q195="SP",CHOOSE(RANDBETWEEN(1,5),"São Paulo","Campinas","Santos","Sorocaba","Ribeirão Preto"),
IF(Q195="RJ",CHOOSE(RANDBETWEEN(1,5),"Rio de Janeiro","Niterói","Duque de Caxias","Nova Iguaçu","Petrópolis"),
IF(Q195="MG",CHOOSE(RANDBETWEEN(1,5),"Belo Horizonte","Uberlândia","Contagem","Juiz de Fora","Betim"),
IF(Q195="ES",CHOOSE(RANDBETWEEN(1,5),"Vitória","Vila Velha","Serra","Cariacica","Linhares"),
IF(Q195="PR",CHOOSE(RANDBETWEEN(1,5),"Curitiba","Londrina","Maringá","Ponta Grossa","Cascavel"),
IF(Q195="SC",CHOOSE(RANDBETWEEN(1,5),"Florianópolis","Joinville","Blumenau","Itajaí","Chapecó"),
IF(Q195="RS",CHOOSE(RANDBETWEEN(1,5),"Porto Alegre","Caxias do Sul","Pelotas","Canoas","Santa Maria"),
IF(Q195="BA",CHOOSE(RANDBETWEEN(1,5),"Salvador","Feira de Santana","Vitória da Conquista","Camaçari","Ilhéus"),
IF(Q195="PE",CHOOSE(RANDBETWEEN(1,5),"Recife","Olinda","Jaboatão","Caruaru","Petrolina"),
IF(Q195="CE",CHOOSE(RANDBETWEEN(1,5),"Fortaleza","Caucaia","Juazeiro do Norte","Sobral","Maracanaú"),
IF(Q195="MT",CHOOSE(RANDBETWEEN(1,5),"Cuiabá","Várzea Grande","Rondonópolis","Sinop","Tangará da Serra"),
IF(Q195="DF",CHOOSE(RANDBETWEEN(1,5),"Brasília","Ceilândia","Taguatinga","Samambaia","Planaltina"),
IF(Q195="AM",CHOOSE(RANDBETWEEN(1,5),"Manaus","Parintins","Itacoatiara","Manacapuru","Coari"),
IF(Q195="PA",CHOOSE(RANDBETWEEN(1,5),"Belém","Ananindeua","Santarém","Marabá","Castanhal"),
IF(Q195="GO",CHOOSE(RANDBETWEEN(1,5),"Goiânia","Aparecida de Goiânia","Anápolis","Rio Verde","Luziânia"),
"")))))))))))))))</f>
        <v>Cuiabá</v>
      </c>
      <c r="S195" s="8">
        <f t="shared" ref="S195:S258" ca="1" si="105">RANDBETWEEN(1,10)</f>
        <v>3</v>
      </c>
      <c r="T195" s="10">
        <f t="shared" ref="T195:T258" ca="1" si="106">RANDBETWEEN(60000,250000)</f>
        <v>219771</v>
      </c>
      <c r="U195" s="10">
        <f t="shared" ref="U195:U258" ca="1" si="107">T195*(RANDBETWEEN(70,85)/100)</f>
        <v>178014.51</v>
      </c>
      <c r="V195" s="10">
        <f t="shared" ref="V195:V258" ca="1" si="108">S195*T195</f>
        <v>659313</v>
      </c>
      <c r="W195" s="10">
        <f t="shared" ref="W195:W258" ca="1" si="109">S195*U195</f>
        <v>534043.53</v>
      </c>
      <c r="X195" s="10">
        <f t="shared" ref="X195:X258" ca="1" si="110">V195-W195</f>
        <v>125269.46999999997</v>
      </c>
      <c r="Y195" s="12">
        <f t="shared" ref="Y195:Y258" ca="1" si="111">X195/V195</f>
        <v>0.18999999999999995</v>
      </c>
      <c r="Z195" s="2" t="str">
        <f t="shared" ref="Z195:Z258" ca="1" si="112">CHOOSE(RANDBETWEEN(1,3),
"Concluída","Cancelada","Em negociação")</f>
        <v>Em negociação</v>
      </c>
      <c r="AA195" s="8">
        <f t="shared" ref="AA195:AA258" ca="1" si="113">RANDBETWEEN(1,30)</f>
        <v>6</v>
      </c>
      <c r="AB195" s="2">
        <f t="shared" ref="AB195:AB258" ca="1" si="114">IF(M195="Popular",RANDBETWEEN(10,30),
IF(M195="SUV",RANDBETWEEN(5,20),
IF(M195="Luxo",RANDBETWEEN(0,10),
RANDBETWEEN(2,15))))</f>
        <v>0</v>
      </c>
      <c r="AC195" s="2">
        <f t="shared" ref="AC195:AC258" ca="1" si="115">IF(M195="Popular",10,
IF(M195="SUV",7,
IF(M195="Luxo",3,5)))</f>
        <v>3</v>
      </c>
    </row>
    <row r="196" spans="1:29" x14ac:dyDescent="0.25">
      <c r="A196" s="14" t="str">
        <f t="shared" si="87"/>
        <v>VND-00196</v>
      </c>
      <c r="B196" s="5">
        <f t="shared" ca="1" si="88"/>
        <v>45437</v>
      </c>
      <c r="C196" s="2">
        <f t="shared" ca="1" si="89"/>
        <v>2024</v>
      </c>
      <c r="D196" s="2" t="str">
        <f t="shared" ca="1" si="90"/>
        <v>maio</v>
      </c>
      <c r="E196" s="2" t="str">
        <f t="shared" ca="1" si="91"/>
        <v>2024/05</v>
      </c>
      <c r="F196" s="14" t="str">
        <f t="shared" ca="1" si="92"/>
        <v>CLI-7923</v>
      </c>
      <c r="G196" s="2" t="str">
        <f t="shared" ca="1" si="93"/>
        <v>Fernanda</v>
      </c>
      <c r="H196" s="2" t="str">
        <f t="shared" ca="1" si="94"/>
        <v>Novo</v>
      </c>
      <c r="I196" s="2" t="str">
        <f t="shared" ca="1" si="95"/>
        <v>Gustavo</v>
      </c>
      <c r="J196" s="14" t="str">
        <f t="shared" ca="1" si="96"/>
        <v>VCL-2238</v>
      </c>
      <c r="K196" s="2" t="str">
        <f t="shared" ca="1" si="97"/>
        <v>HB20</v>
      </c>
      <c r="L196" s="2" t="str">
        <f t="shared" ca="1" si="98"/>
        <v>Hyundai</v>
      </c>
      <c r="M196" s="2" t="str">
        <f t="shared" ca="1" si="99"/>
        <v>Popular</v>
      </c>
      <c r="N196" s="2">
        <f t="shared" ca="1" si="100"/>
        <v>2024</v>
      </c>
      <c r="O196" s="2" t="str">
        <f t="shared" ca="1" si="101"/>
        <v>Loja</v>
      </c>
      <c r="P196" s="2" t="str">
        <f t="shared" ca="1" si="102"/>
        <v>Centro-Oeste</v>
      </c>
      <c r="Q196" s="2" t="str">
        <f t="shared" ca="1" si="103"/>
        <v>GO</v>
      </c>
      <c r="R196" s="2" t="str">
        <f t="shared" ca="1" si="104"/>
        <v>Goiânia</v>
      </c>
      <c r="S196" s="8">
        <f t="shared" ca="1" si="105"/>
        <v>6</v>
      </c>
      <c r="T196" s="10">
        <f t="shared" ca="1" si="106"/>
        <v>81585</v>
      </c>
      <c r="U196" s="10">
        <f t="shared" ca="1" si="107"/>
        <v>58741.2</v>
      </c>
      <c r="V196" s="10">
        <f t="shared" ca="1" si="108"/>
        <v>489510</v>
      </c>
      <c r="W196" s="10">
        <f t="shared" ca="1" si="109"/>
        <v>352447.19999999995</v>
      </c>
      <c r="X196" s="10">
        <f t="shared" ca="1" si="110"/>
        <v>137062.80000000005</v>
      </c>
      <c r="Y196" s="12">
        <f t="shared" ca="1" si="111"/>
        <v>0.28000000000000008</v>
      </c>
      <c r="Z196" s="2" t="str">
        <f t="shared" ca="1" si="112"/>
        <v>Em negociação</v>
      </c>
      <c r="AA196" s="8">
        <f t="shared" ca="1" si="113"/>
        <v>16</v>
      </c>
      <c r="AB196" s="2">
        <f t="shared" ca="1" si="114"/>
        <v>10</v>
      </c>
      <c r="AC196" s="2">
        <f t="shared" ca="1" si="115"/>
        <v>10</v>
      </c>
    </row>
    <row r="197" spans="1:29" x14ac:dyDescent="0.25">
      <c r="A197" s="14" t="str">
        <f t="shared" si="87"/>
        <v>VND-00197</v>
      </c>
      <c r="B197" s="5">
        <f t="shared" ca="1" si="88"/>
        <v>45447</v>
      </c>
      <c r="C197" s="2">
        <f t="shared" ca="1" si="89"/>
        <v>2024</v>
      </c>
      <c r="D197" s="2" t="str">
        <f t="shared" ca="1" si="90"/>
        <v>junho</v>
      </c>
      <c r="E197" s="2" t="str">
        <f t="shared" ca="1" si="91"/>
        <v>2024/06</v>
      </c>
      <c r="F197" s="14" t="str">
        <f t="shared" ca="1" si="92"/>
        <v>CLI-9141</v>
      </c>
      <c r="G197" s="2" t="str">
        <f t="shared" ca="1" si="93"/>
        <v>Rafael</v>
      </c>
      <c r="H197" s="2" t="str">
        <f t="shared" ca="1" si="94"/>
        <v>Recorrente</v>
      </c>
      <c r="I197" s="2" t="str">
        <f t="shared" ca="1" si="95"/>
        <v>Larissa</v>
      </c>
      <c r="J197" s="14" t="str">
        <f t="shared" ca="1" si="96"/>
        <v>VCL-8703</v>
      </c>
      <c r="K197" s="2" t="str">
        <f t="shared" ca="1" si="97"/>
        <v>Corolla</v>
      </c>
      <c r="L197" s="2" t="str">
        <f t="shared" ca="1" si="98"/>
        <v>Toyota</v>
      </c>
      <c r="M197" s="2" t="str">
        <f t="shared" ca="1" si="99"/>
        <v>SUV</v>
      </c>
      <c r="N197" s="2">
        <f t="shared" ca="1" si="100"/>
        <v>2021</v>
      </c>
      <c r="O197" s="2" t="str">
        <f t="shared" ca="1" si="101"/>
        <v>Loja</v>
      </c>
      <c r="P197" s="2" t="str">
        <f t="shared" ca="1" si="102"/>
        <v>Centro-Oeste</v>
      </c>
      <c r="Q197" s="2" t="str">
        <f t="shared" ca="1" si="103"/>
        <v>GO</v>
      </c>
      <c r="R197" s="2" t="str">
        <f t="shared" ca="1" si="104"/>
        <v>Goiânia</v>
      </c>
      <c r="S197" s="8">
        <f t="shared" ca="1" si="105"/>
        <v>8</v>
      </c>
      <c r="T197" s="10">
        <f t="shared" ca="1" si="106"/>
        <v>156260</v>
      </c>
      <c r="U197" s="10">
        <f t="shared" ca="1" si="107"/>
        <v>112507.2</v>
      </c>
      <c r="V197" s="10">
        <f t="shared" ca="1" si="108"/>
        <v>1250080</v>
      </c>
      <c r="W197" s="10">
        <f t="shared" ca="1" si="109"/>
        <v>900057.59999999998</v>
      </c>
      <c r="X197" s="10">
        <f t="shared" ca="1" si="110"/>
        <v>350022.40000000002</v>
      </c>
      <c r="Y197" s="12">
        <f t="shared" ca="1" si="111"/>
        <v>0.28000000000000003</v>
      </c>
      <c r="Z197" s="2" t="str">
        <f t="shared" ca="1" si="112"/>
        <v>Em negociação</v>
      </c>
      <c r="AA197" s="8">
        <f t="shared" ca="1" si="113"/>
        <v>24</v>
      </c>
      <c r="AB197" s="2">
        <f t="shared" ca="1" si="114"/>
        <v>14</v>
      </c>
      <c r="AC197" s="2">
        <f t="shared" ca="1" si="115"/>
        <v>7</v>
      </c>
    </row>
    <row r="198" spans="1:29" x14ac:dyDescent="0.25">
      <c r="A198" s="14" t="str">
        <f t="shared" si="87"/>
        <v>VND-00198</v>
      </c>
      <c r="B198" s="5">
        <f t="shared" ca="1" si="88"/>
        <v>45216</v>
      </c>
      <c r="C198" s="2">
        <f t="shared" ca="1" si="89"/>
        <v>2023</v>
      </c>
      <c r="D198" s="2" t="str">
        <f t="shared" ca="1" si="90"/>
        <v>outubro</v>
      </c>
      <c r="E198" s="2" t="str">
        <f t="shared" ca="1" si="91"/>
        <v>2023/10</v>
      </c>
      <c r="F198" s="14" t="str">
        <f t="shared" ca="1" si="92"/>
        <v>CLI-5649</v>
      </c>
      <c r="G198" s="2" t="str">
        <f t="shared" ca="1" si="93"/>
        <v>Lucas</v>
      </c>
      <c r="H198" s="2" t="str">
        <f t="shared" ca="1" si="94"/>
        <v>Novo</v>
      </c>
      <c r="I198" s="2" t="str">
        <f t="shared" ca="1" si="95"/>
        <v>Tatiane</v>
      </c>
      <c r="J198" s="14" t="str">
        <f t="shared" ca="1" si="96"/>
        <v>VCL-2140</v>
      </c>
      <c r="K198" s="2" t="str">
        <f t="shared" ca="1" si="97"/>
        <v>Onix</v>
      </c>
      <c r="L198" s="2" t="str">
        <f t="shared" ca="1" si="98"/>
        <v>Chevrolet</v>
      </c>
      <c r="M198" s="2" t="str">
        <f t="shared" ca="1" si="99"/>
        <v>Popular</v>
      </c>
      <c r="N198" s="2">
        <f t="shared" ca="1" si="100"/>
        <v>2022</v>
      </c>
      <c r="O198" s="2" t="str">
        <f t="shared" ca="1" si="101"/>
        <v>Loja</v>
      </c>
      <c r="P198" s="2" t="str">
        <f t="shared" ca="1" si="102"/>
        <v>Norte</v>
      </c>
      <c r="Q198" s="2" t="str">
        <f t="shared" ca="1" si="103"/>
        <v>AM</v>
      </c>
      <c r="R198" s="2" t="str">
        <f t="shared" ca="1" si="104"/>
        <v>Itacoatiara</v>
      </c>
      <c r="S198" s="8">
        <f t="shared" ca="1" si="105"/>
        <v>9</v>
      </c>
      <c r="T198" s="10">
        <f t="shared" ca="1" si="106"/>
        <v>181966</v>
      </c>
      <c r="U198" s="10">
        <f t="shared" ca="1" si="107"/>
        <v>141933.48000000001</v>
      </c>
      <c r="V198" s="10">
        <f t="shared" ca="1" si="108"/>
        <v>1637694</v>
      </c>
      <c r="W198" s="10">
        <f t="shared" ca="1" si="109"/>
        <v>1277401.32</v>
      </c>
      <c r="X198" s="10">
        <f t="shared" ca="1" si="110"/>
        <v>360292.67999999993</v>
      </c>
      <c r="Y198" s="12">
        <f t="shared" ca="1" si="111"/>
        <v>0.21999999999999997</v>
      </c>
      <c r="Z198" s="2" t="str">
        <f t="shared" ca="1" si="112"/>
        <v>Concluída</v>
      </c>
      <c r="AA198" s="8">
        <f t="shared" ca="1" si="113"/>
        <v>16</v>
      </c>
      <c r="AB198" s="2">
        <f t="shared" ca="1" si="114"/>
        <v>10</v>
      </c>
      <c r="AC198" s="2">
        <f t="shared" ca="1" si="115"/>
        <v>10</v>
      </c>
    </row>
    <row r="199" spans="1:29" x14ac:dyDescent="0.25">
      <c r="A199" s="14" t="str">
        <f t="shared" si="87"/>
        <v>VND-00199</v>
      </c>
      <c r="B199" s="5">
        <f t="shared" ca="1" si="88"/>
        <v>45698</v>
      </c>
      <c r="C199" s="2">
        <f t="shared" ca="1" si="89"/>
        <v>2025</v>
      </c>
      <c r="D199" s="2" t="str">
        <f t="shared" ca="1" si="90"/>
        <v>fevereiro</v>
      </c>
      <c r="E199" s="2" t="str">
        <f t="shared" ca="1" si="91"/>
        <v>2025/02</v>
      </c>
      <c r="F199" s="14" t="str">
        <f t="shared" ca="1" si="92"/>
        <v>CLI-5250</v>
      </c>
      <c r="G199" s="2" t="str">
        <f t="shared" ca="1" si="93"/>
        <v>Carlos</v>
      </c>
      <c r="H199" s="2" t="str">
        <f t="shared" ca="1" si="94"/>
        <v>Recorrente</v>
      </c>
      <c r="I199" s="2" t="str">
        <f t="shared" ca="1" si="95"/>
        <v>Pedro</v>
      </c>
      <c r="J199" s="14" t="str">
        <f t="shared" ca="1" si="96"/>
        <v>VCL-4894</v>
      </c>
      <c r="K199" s="2" t="str">
        <f t="shared" ca="1" si="97"/>
        <v>Corolla</v>
      </c>
      <c r="L199" s="2" t="str">
        <f t="shared" ca="1" si="98"/>
        <v>Toyota</v>
      </c>
      <c r="M199" s="2" t="str">
        <f t="shared" ca="1" si="99"/>
        <v>SUV</v>
      </c>
      <c r="N199" s="2">
        <f t="shared" ca="1" si="100"/>
        <v>2017</v>
      </c>
      <c r="O199" s="2" t="str">
        <f t="shared" ca="1" si="101"/>
        <v>Loja</v>
      </c>
      <c r="P199" s="2" t="str">
        <f t="shared" ca="1" si="102"/>
        <v>Sudeste</v>
      </c>
      <c r="Q199" s="2" t="str">
        <f t="shared" ca="1" si="103"/>
        <v>RJ</v>
      </c>
      <c r="R199" s="2" t="str">
        <f t="shared" ca="1" si="104"/>
        <v>Duque de Caxias</v>
      </c>
      <c r="S199" s="8">
        <f t="shared" ca="1" si="105"/>
        <v>2</v>
      </c>
      <c r="T199" s="10">
        <f t="shared" ca="1" si="106"/>
        <v>188765</v>
      </c>
      <c r="U199" s="10">
        <f t="shared" ca="1" si="107"/>
        <v>137798.44999999998</v>
      </c>
      <c r="V199" s="10">
        <f t="shared" ca="1" si="108"/>
        <v>377530</v>
      </c>
      <c r="W199" s="10">
        <f t="shared" ca="1" si="109"/>
        <v>275596.89999999997</v>
      </c>
      <c r="X199" s="10">
        <f t="shared" ca="1" si="110"/>
        <v>101933.10000000003</v>
      </c>
      <c r="Y199" s="12">
        <f t="shared" ca="1" si="111"/>
        <v>0.27000000000000007</v>
      </c>
      <c r="Z199" s="2" t="str">
        <f t="shared" ca="1" si="112"/>
        <v>Cancelada</v>
      </c>
      <c r="AA199" s="8">
        <f t="shared" ca="1" si="113"/>
        <v>6</v>
      </c>
      <c r="AB199" s="2">
        <f t="shared" ca="1" si="114"/>
        <v>6</v>
      </c>
      <c r="AC199" s="2">
        <f t="shared" ca="1" si="115"/>
        <v>7</v>
      </c>
    </row>
    <row r="200" spans="1:29" x14ac:dyDescent="0.25">
      <c r="A200" s="14" t="str">
        <f t="shared" si="87"/>
        <v>VND-00200</v>
      </c>
      <c r="B200" s="5">
        <f t="shared" ca="1" si="88"/>
        <v>45483</v>
      </c>
      <c r="C200" s="2">
        <f t="shared" ca="1" si="89"/>
        <v>2024</v>
      </c>
      <c r="D200" s="2" t="str">
        <f t="shared" ca="1" si="90"/>
        <v>julho</v>
      </c>
      <c r="E200" s="2" t="str">
        <f t="shared" ca="1" si="91"/>
        <v>2024/07</v>
      </c>
      <c r="F200" s="14" t="str">
        <f t="shared" ca="1" si="92"/>
        <v>CLI-6964</v>
      </c>
      <c r="G200" s="2" t="str">
        <f t="shared" ca="1" si="93"/>
        <v>Rafael</v>
      </c>
      <c r="H200" s="2" t="str">
        <f t="shared" ca="1" si="94"/>
        <v>Novo</v>
      </c>
      <c r="I200" s="2" t="str">
        <f t="shared" ca="1" si="95"/>
        <v>Marcos</v>
      </c>
      <c r="J200" s="14" t="str">
        <f t="shared" ca="1" si="96"/>
        <v>VCL-3135</v>
      </c>
      <c r="K200" s="2" t="str">
        <f t="shared" ca="1" si="97"/>
        <v>Compass</v>
      </c>
      <c r="L200" s="2" t="str">
        <f t="shared" ca="1" si="98"/>
        <v>Jeep</v>
      </c>
      <c r="M200" s="2" t="str">
        <f t="shared" ca="1" si="99"/>
        <v>SUV</v>
      </c>
      <c r="N200" s="2">
        <f t="shared" ca="1" si="100"/>
        <v>2021</v>
      </c>
      <c r="O200" s="2" t="str">
        <f t="shared" ca="1" si="101"/>
        <v>Online</v>
      </c>
      <c r="P200" s="2" t="str">
        <f t="shared" ca="1" si="102"/>
        <v>Sul</v>
      </c>
      <c r="Q200" s="2" t="str">
        <f t="shared" ca="1" si="103"/>
        <v>RS</v>
      </c>
      <c r="R200" s="2" t="str">
        <f t="shared" ca="1" si="104"/>
        <v>Porto Alegre</v>
      </c>
      <c r="S200" s="8">
        <f t="shared" ca="1" si="105"/>
        <v>2</v>
      </c>
      <c r="T200" s="10">
        <f t="shared" ca="1" si="106"/>
        <v>214823</v>
      </c>
      <c r="U200" s="10">
        <f t="shared" ca="1" si="107"/>
        <v>156820.79</v>
      </c>
      <c r="V200" s="10">
        <f t="shared" ca="1" si="108"/>
        <v>429646</v>
      </c>
      <c r="W200" s="10">
        <f t="shared" ca="1" si="109"/>
        <v>313641.58</v>
      </c>
      <c r="X200" s="10">
        <f t="shared" ca="1" si="110"/>
        <v>116004.41999999998</v>
      </c>
      <c r="Y200" s="12">
        <f t="shared" ca="1" si="111"/>
        <v>0.26999999999999996</v>
      </c>
      <c r="Z200" s="2" t="str">
        <f t="shared" ca="1" si="112"/>
        <v>Cancelada</v>
      </c>
      <c r="AA200" s="8">
        <f t="shared" ca="1" si="113"/>
        <v>4</v>
      </c>
      <c r="AB200" s="2">
        <f t="shared" ca="1" si="114"/>
        <v>9</v>
      </c>
      <c r="AC200" s="2">
        <f t="shared" ca="1" si="115"/>
        <v>7</v>
      </c>
    </row>
    <row r="201" spans="1:29" x14ac:dyDescent="0.25">
      <c r="A201" s="14" t="str">
        <f t="shared" si="87"/>
        <v>VND-00201</v>
      </c>
      <c r="B201" s="5">
        <f t="shared" ca="1" si="88"/>
        <v>45956</v>
      </c>
      <c r="C201" s="2">
        <f t="shared" ca="1" si="89"/>
        <v>2025</v>
      </c>
      <c r="D201" s="2" t="str">
        <f t="shared" ca="1" si="90"/>
        <v>outubro</v>
      </c>
      <c r="E201" s="2" t="str">
        <f t="shared" ca="1" si="91"/>
        <v>2025/10</v>
      </c>
      <c r="F201" s="14" t="str">
        <f t="shared" ca="1" si="92"/>
        <v>CLI-7911</v>
      </c>
      <c r="G201" s="2" t="str">
        <f t="shared" ca="1" si="93"/>
        <v>João</v>
      </c>
      <c r="H201" s="2" t="str">
        <f t="shared" ca="1" si="94"/>
        <v>Recorrente</v>
      </c>
      <c r="I201" s="2" t="str">
        <f t="shared" ca="1" si="95"/>
        <v>Roberto</v>
      </c>
      <c r="J201" s="14" t="str">
        <f t="shared" ca="1" si="96"/>
        <v>VCL-5224</v>
      </c>
      <c r="K201" s="2" t="str">
        <f t="shared" ca="1" si="97"/>
        <v>Compass</v>
      </c>
      <c r="L201" s="2" t="str">
        <f t="shared" ca="1" si="98"/>
        <v>Jeep</v>
      </c>
      <c r="M201" s="2" t="str">
        <f t="shared" ca="1" si="99"/>
        <v>SUV</v>
      </c>
      <c r="N201" s="2">
        <f t="shared" ca="1" si="100"/>
        <v>2021</v>
      </c>
      <c r="O201" s="2" t="str">
        <f t="shared" ca="1" si="101"/>
        <v>Online</v>
      </c>
      <c r="P201" s="2" t="str">
        <f t="shared" ca="1" si="102"/>
        <v>Nordeste</v>
      </c>
      <c r="Q201" s="2" t="str">
        <f t="shared" ca="1" si="103"/>
        <v>BA</v>
      </c>
      <c r="R201" s="2" t="str">
        <f t="shared" ca="1" si="104"/>
        <v>Ilhéus</v>
      </c>
      <c r="S201" s="8">
        <f t="shared" ca="1" si="105"/>
        <v>5</v>
      </c>
      <c r="T201" s="10">
        <f t="shared" ca="1" si="106"/>
        <v>97984</v>
      </c>
      <c r="U201" s="10">
        <f t="shared" ca="1" si="107"/>
        <v>82306.559999999998</v>
      </c>
      <c r="V201" s="10">
        <f t="shared" ca="1" si="108"/>
        <v>489920</v>
      </c>
      <c r="W201" s="10">
        <f t="shared" ca="1" si="109"/>
        <v>411532.79999999999</v>
      </c>
      <c r="X201" s="10">
        <f t="shared" ca="1" si="110"/>
        <v>78387.200000000012</v>
      </c>
      <c r="Y201" s="12">
        <f t="shared" ca="1" si="111"/>
        <v>0.16000000000000003</v>
      </c>
      <c r="Z201" s="2" t="str">
        <f t="shared" ca="1" si="112"/>
        <v>Em negociação</v>
      </c>
      <c r="AA201" s="8">
        <f t="shared" ca="1" si="113"/>
        <v>14</v>
      </c>
      <c r="AB201" s="2">
        <f t="shared" ca="1" si="114"/>
        <v>10</v>
      </c>
      <c r="AC201" s="2">
        <f t="shared" ca="1" si="115"/>
        <v>7</v>
      </c>
    </row>
    <row r="202" spans="1:29" x14ac:dyDescent="0.25">
      <c r="A202" s="14" t="str">
        <f t="shared" si="87"/>
        <v>VND-00202</v>
      </c>
      <c r="B202" s="5">
        <f t="shared" ca="1" si="88"/>
        <v>45794</v>
      </c>
      <c r="C202" s="2">
        <f t="shared" ca="1" si="89"/>
        <v>2025</v>
      </c>
      <c r="D202" s="2" t="str">
        <f t="shared" ca="1" si="90"/>
        <v>maio</v>
      </c>
      <c r="E202" s="2" t="str">
        <f t="shared" ca="1" si="91"/>
        <v>2025/05</v>
      </c>
      <c r="F202" s="14" t="str">
        <f t="shared" ca="1" si="92"/>
        <v>CLI-9872</v>
      </c>
      <c r="G202" s="2" t="str">
        <f t="shared" ca="1" si="93"/>
        <v>Juliana</v>
      </c>
      <c r="H202" s="2" t="str">
        <f t="shared" ca="1" si="94"/>
        <v>Novo</v>
      </c>
      <c r="I202" s="2" t="str">
        <f t="shared" ca="1" si="95"/>
        <v>Carla</v>
      </c>
      <c r="J202" s="14" t="str">
        <f t="shared" ca="1" si="96"/>
        <v>VCL-4070</v>
      </c>
      <c r="K202" s="2" t="str">
        <f t="shared" ca="1" si="97"/>
        <v>BMW X1</v>
      </c>
      <c r="L202" s="2" t="str">
        <f t="shared" ca="1" si="98"/>
        <v>BMW</v>
      </c>
      <c r="M202" s="2" t="str">
        <f t="shared" ca="1" si="99"/>
        <v>Luxo</v>
      </c>
      <c r="N202" s="2">
        <f t="shared" ca="1" si="100"/>
        <v>2017</v>
      </c>
      <c r="O202" s="2" t="str">
        <f t="shared" ca="1" si="101"/>
        <v>Loja</v>
      </c>
      <c r="P202" s="2" t="str">
        <f t="shared" ca="1" si="102"/>
        <v>Sul</v>
      </c>
      <c r="Q202" s="2" t="str">
        <f t="shared" ca="1" si="103"/>
        <v>PR</v>
      </c>
      <c r="R202" s="2" t="str">
        <f t="shared" ca="1" si="104"/>
        <v>Londrina</v>
      </c>
      <c r="S202" s="8">
        <f t="shared" ca="1" si="105"/>
        <v>4</v>
      </c>
      <c r="T202" s="10">
        <f t="shared" ca="1" si="106"/>
        <v>122943</v>
      </c>
      <c r="U202" s="10">
        <f t="shared" ca="1" si="107"/>
        <v>88518.959999999992</v>
      </c>
      <c r="V202" s="10">
        <f t="shared" ca="1" si="108"/>
        <v>491772</v>
      </c>
      <c r="W202" s="10">
        <f t="shared" ca="1" si="109"/>
        <v>354075.83999999997</v>
      </c>
      <c r="X202" s="10">
        <f t="shared" ca="1" si="110"/>
        <v>137696.16000000003</v>
      </c>
      <c r="Y202" s="12">
        <f t="shared" ca="1" si="111"/>
        <v>0.28000000000000008</v>
      </c>
      <c r="Z202" s="2" t="str">
        <f t="shared" ca="1" si="112"/>
        <v>Cancelada</v>
      </c>
      <c r="AA202" s="8">
        <f t="shared" ca="1" si="113"/>
        <v>5</v>
      </c>
      <c r="AB202" s="2">
        <f t="shared" ca="1" si="114"/>
        <v>1</v>
      </c>
      <c r="AC202" s="2">
        <f t="shared" ca="1" si="115"/>
        <v>3</v>
      </c>
    </row>
    <row r="203" spans="1:29" x14ac:dyDescent="0.25">
      <c r="A203" s="14" t="str">
        <f t="shared" si="87"/>
        <v>VND-00203</v>
      </c>
      <c r="B203" s="5">
        <f t="shared" ca="1" si="88"/>
        <v>45071</v>
      </c>
      <c r="C203" s="2">
        <f t="shared" ca="1" si="89"/>
        <v>2023</v>
      </c>
      <c r="D203" s="2" t="str">
        <f t="shared" ca="1" si="90"/>
        <v>maio</v>
      </c>
      <c r="E203" s="2" t="str">
        <f t="shared" ca="1" si="91"/>
        <v>2023/05</v>
      </c>
      <c r="F203" s="14" t="str">
        <f t="shared" ca="1" si="92"/>
        <v>CLI-3503</v>
      </c>
      <c r="G203" s="2" t="str">
        <f t="shared" ca="1" si="93"/>
        <v>Lucas</v>
      </c>
      <c r="H203" s="2" t="str">
        <f t="shared" ca="1" si="94"/>
        <v>Novo</v>
      </c>
      <c r="I203" s="2" t="str">
        <f t="shared" ca="1" si="95"/>
        <v>Roberto</v>
      </c>
      <c r="J203" s="14" t="str">
        <f t="shared" ca="1" si="96"/>
        <v>VCL-4858</v>
      </c>
      <c r="K203" s="2" t="str">
        <f t="shared" ca="1" si="97"/>
        <v>Onix</v>
      </c>
      <c r="L203" s="2" t="str">
        <f t="shared" ca="1" si="98"/>
        <v>Chevrolet</v>
      </c>
      <c r="M203" s="2" t="str">
        <f t="shared" ca="1" si="99"/>
        <v>Popular</v>
      </c>
      <c r="N203" s="2">
        <f t="shared" ca="1" si="100"/>
        <v>2015</v>
      </c>
      <c r="O203" s="2" t="str">
        <f t="shared" ca="1" si="101"/>
        <v>Loja</v>
      </c>
      <c r="P203" s="2" t="str">
        <f t="shared" ca="1" si="102"/>
        <v>Nordeste</v>
      </c>
      <c r="Q203" s="2" t="str">
        <f t="shared" ca="1" si="103"/>
        <v>CE</v>
      </c>
      <c r="R203" s="2" t="str">
        <f t="shared" ca="1" si="104"/>
        <v>Caucaia</v>
      </c>
      <c r="S203" s="8">
        <f t="shared" ca="1" si="105"/>
        <v>1</v>
      </c>
      <c r="T203" s="10">
        <f t="shared" ca="1" si="106"/>
        <v>97414</v>
      </c>
      <c r="U203" s="10">
        <f t="shared" ca="1" si="107"/>
        <v>73060.5</v>
      </c>
      <c r="V203" s="10">
        <f t="shared" ca="1" si="108"/>
        <v>97414</v>
      </c>
      <c r="W203" s="10">
        <f t="shared" ca="1" si="109"/>
        <v>73060.5</v>
      </c>
      <c r="X203" s="10">
        <f t="shared" ca="1" si="110"/>
        <v>24353.5</v>
      </c>
      <c r="Y203" s="12">
        <f t="shared" ca="1" si="111"/>
        <v>0.25</v>
      </c>
      <c r="Z203" s="2" t="str">
        <f t="shared" ca="1" si="112"/>
        <v>Em negociação</v>
      </c>
      <c r="AA203" s="8">
        <f t="shared" ca="1" si="113"/>
        <v>25</v>
      </c>
      <c r="AB203" s="2">
        <f t="shared" ca="1" si="114"/>
        <v>20</v>
      </c>
      <c r="AC203" s="2">
        <f t="shared" ca="1" si="115"/>
        <v>10</v>
      </c>
    </row>
    <row r="204" spans="1:29" x14ac:dyDescent="0.25">
      <c r="A204" s="14" t="str">
        <f t="shared" si="87"/>
        <v>VND-00204</v>
      </c>
      <c r="B204" s="5">
        <f t="shared" ca="1" si="88"/>
        <v>45094</v>
      </c>
      <c r="C204" s="2">
        <f t="shared" ca="1" si="89"/>
        <v>2023</v>
      </c>
      <c r="D204" s="2" t="str">
        <f t="shared" ca="1" si="90"/>
        <v>junho</v>
      </c>
      <c r="E204" s="2" t="str">
        <f t="shared" ca="1" si="91"/>
        <v>2023/06</v>
      </c>
      <c r="F204" s="14" t="str">
        <f t="shared" ca="1" si="92"/>
        <v>CLI-4028</v>
      </c>
      <c r="G204" s="2" t="str">
        <f t="shared" ca="1" si="93"/>
        <v>Ana</v>
      </c>
      <c r="H204" s="2" t="str">
        <f t="shared" ca="1" si="94"/>
        <v>Novo</v>
      </c>
      <c r="I204" s="2" t="str">
        <f t="shared" ca="1" si="95"/>
        <v>Felipe</v>
      </c>
      <c r="J204" s="14" t="str">
        <f t="shared" ca="1" si="96"/>
        <v>VCL-9977</v>
      </c>
      <c r="K204" s="2" t="str">
        <f t="shared" ca="1" si="97"/>
        <v>Compass</v>
      </c>
      <c r="L204" s="2" t="str">
        <f t="shared" ca="1" si="98"/>
        <v>Jeep</v>
      </c>
      <c r="M204" s="2" t="str">
        <f t="shared" ca="1" si="99"/>
        <v>SUV</v>
      </c>
      <c r="N204" s="2">
        <f t="shared" ca="1" si="100"/>
        <v>2024</v>
      </c>
      <c r="O204" s="2" t="str">
        <f t="shared" ca="1" si="101"/>
        <v>Loja</v>
      </c>
      <c r="P204" s="2" t="str">
        <f t="shared" ca="1" si="102"/>
        <v>Norte</v>
      </c>
      <c r="Q204" s="2" t="str">
        <f t="shared" ca="1" si="103"/>
        <v>PA</v>
      </c>
      <c r="R204" s="2" t="str">
        <f t="shared" ca="1" si="104"/>
        <v>Belém</v>
      </c>
      <c r="S204" s="8">
        <f t="shared" ca="1" si="105"/>
        <v>6</v>
      </c>
      <c r="T204" s="10">
        <f t="shared" ca="1" si="106"/>
        <v>134987</v>
      </c>
      <c r="U204" s="10">
        <f t="shared" ca="1" si="107"/>
        <v>113389.08</v>
      </c>
      <c r="V204" s="10">
        <f t="shared" ca="1" si="108"/>
        <v>809922</v>
      </c>
      <c r="W204" s="10">
        <f t="shared" ca="1" si="109"/>
        <v>680334.48</v>
      </c>
      <c r="X204" s="10">
        <f t="shared" ca="1" si="110"/>
        <v>129587.52000000002</v>
      </c>
      <c r="Y204" s="12">
        <f t="shared" ca="1" si="111"/>
        <v>0.16000000000000003</v>
      </c>
      <c r="Z204" s="2" t="str">
        <f t="shared" ca="1" si="112"/>
        <v>Concluída</v>
      </c>
      <c r="AA204" s="8">
        <f t="shared" ca="1" si="113"/>
        <v>17</v>
      </c>
      <c r="AB204" s="2">
        <f t="shared" ca="1" si="114"/>
        <v>16</v>
      </c>
      <c r="AC204" s="2">
        <f t="shared" ca="1" si="115"/>
        <v>7</v>
      </c>
    </row>
    <row r="205" spans="1:29" x14ac:dyDescent="0.25">
      <c r="A205" s="14" t="str">
        <f t="shared" si="87"/>
        <v>VND-00205</v>
      </c>
      <c r="B205" s="5">
        <f t="shared" ca="1" si="88"/>
        <v>45286</v>
      </c>
      <c r="C205" s="2">
        <f t="shared" ca="1" si="89"/>
        <v>2023</v>
      </c>
      <c r="D205" s="2" t="str">
        <f t="shared" ca="1" si="90"/>
        <v>dezembro</v>
      </c>
      <c r="E205" s="2" t="str">
        <f t="shared" ca="1" si="91"/>
        <v>2023/12</v>
      </c>
      <c r="F205" s="14" t="str">
        <f t="shared" ca="1" si="92"/>
        <v>CLI-2474</v>
      </c>
      <c r="G205" s="2" t="str">
        <f t="shared" ca="1" si="93"/>
        <v>Maria</v>
      </c>
      <c r="H205" s="2" t="str">
        <f t="shared" ca="1" si="94"/>
        <v>Novo</v>
      </c>
      <c r="I205" s="2" t="str">
        <f t="shared" ca="1" si="95"/>
        <v>Carla</v>
      </c>
      <c r="J205" s="14" t="str">
        <f t="shared" ca="1" si="96"/>
        <v>VCL-9747</v>
      </c>
      <c r="K205" s="2" t="str">
        <f t="shared" ca="1" si="97"/>
        <v>HB20</v>
      </c>
      <c r="L205" s="2" t="str">
        <f t="shared" ca="1" si="98"/>
        <v>Hyundai</v>
      </c>
      <c r="M205" s="2" t="str">
        <f t="shared" ca="1" si="99"/>
        <v>Popular</v>
      </c>
      <c r="N205" s="2">
        <f t="shared" ca="1" si="100"/>
        <v>2023</v>
      </c>
      <c r="O205" s="2" t="str">
        <f t="shared" ca="1" si="101"/>
        <v>Loja</v>
      </c>
      <c r="P205" s="2" t="str">
        <f t="shared" ca="1" si="102"/>
        <v>Sul</v>
      </c>
      <c r="Q205" s="2" t="str">
        <f t="shared" ca="1" si="103"/>
        <v>PR</v>
      </c>
      <c r="R205" s="2" t="str">
        <f t="shared" ca="1" si="104"/>
        <v>Londrina</v>
      </c>
      <c r="S205" s="8">
        <f t="shared" ca="1" si="105"/>
        <v>8</v>
      </c>
      <c r="T205" s="10">
        <f t="shared" ca="1" si="106"/>
        <v>89093</v>
      </c>
      <c r="U205" s="10">
        <f t="shared" ca="1" si="107"/>
        <v>63256.03</v>
      </c>
      <c r="V205" s="10">
        <f t="shared" ca="1" si="108"/>
        <v>712744</v>
      </c>
      <c r="W205" s="10">
        <f t="shared" ca="1" si="109"/>
        <v>506048.24</v>
      </c>
      <c r="X205" s="10">
        <f t="shared" ca="1" si="110"/>
        <v>206695.76</v>
      </c>
      <c r="Y205" s="12">
        <f t="shared" ca="1" si="111"/>
        <v>0.29000000000000004</v>
      </c>
      <c r="Z205" s="2" t="str">
        <f t="shared" ca="1" si="112"/>
        <v>Cancelada</v>
      </c>
      <c r="AA205" s="8">
        <f t="shared" ca="1" si="113"/>
        <v>2</v>
      </c>
      <c r="AB205" s="2">
        <f t="shared" ca="1" si="114"/>
        <v>22</v>
      </c>
      <c r="AC205" s="2">
        <f t="shared" ca="1" si="115"/>
        <v>10</v>
      </c>
    </row>
    <row r="206" spans="1:29" x14ac:dyDescent="0.25">
      <c r="A206" s="14" t="str">
        <f t="shared" si="87"/>
        <v>VND-00206</v>
      </c>
      <c r="B206" s="5">
        <f t="shared" ca="1" si="88"/>
        <v>45080</v>
      </c>
      <c r="C206" s="2">
        <f t="shared" ca="1" si="89"/>
        <v>2023</v>
      </c>
      <c r="D206" s="2" t="str">
        <f t="shared" ca="1" si="90"/>
        <v>junho</v>
      </c>
      <c r="E206" s="2" t="str">
        <f t="shared" ca="1" si="91"/>
        <v>2023/06</v>
      </c>
      <c r="F206" s="14" t="str">
        <f t="shared" ca="1" si="92"/>
        <v>CLI-5320</v>
      </c>
      <c r="G206" s="2" t="str">
        <f t="shared" ca="1" si="93"/>
        <v>Maria</v>
      </c>
      <c r="H206" s="2" t="str">
        <f t="shared" ca="1" si="94"/>
        <v>Recorrente</v>
      </c>
      <c r="I206" s="2" t="str">
        <f t="shared" ca="1" si="95"/>
        <v>Lucas</v>
      </c>
      <c r="J206" s="14" t="str">
        <f t="shared" ca="1" si="96"/>
        <v>VCL-1265</v>
      </c>
      <c r="K206" s="2" t="str">
        <f t="shared" ca="1" si="97"/>
        <v>Corolla</v>
      </c>
      <c r="L206" s="2" t="str">
        <f t="shared" ca="1" si="98"/>
        <v>Toyota</v>
      </c>
      <c r="M206" s="2" t="str">
        <f t="shared" ca="1" si="99"/>
        <v>SUV</v>
      </c>
      <c r="N206" s="2">
        <f t="shared" ca="1" si="100"/>
        <v>2018</v>
      </c>
      <c r="O206" s="2" t="str">
        <f t="shared" ca="1" si="101"/>
        <v>Online</v>
      </c>
      <c r="P206" s="2" t="str">
        <f t="shared" ca="1" si="102"/>
        <v>Sudeste</v>
      </c>
      <c r="Q206" s="2" t="str">
        <f t="shared" ca="1" si="103"/>
        <v>ES</v>
      </c>
      <c r="R206" s="2" t="str">
        <f t="shared" ca="1" si="104"/>
        <v>Linhares</v>
      </c>
      <c r="S206" s="8">
        <f t="shared" ca="1" si="105"/>
        <v>7</v>
      </c>
      <c r="T206" s="10">
        <f t="shared" ca="1" si="106"/>
        <v>74198</v>
      </c>
      <c r="U206" s="10">
        <f t="shared" ca="1" si="107"/>
        <v>63068.299999999996</v>
      </c>
      <c r="V206" s="10">
        <f t="shared" ca="1" si="108"/>
        <v>519386</v>
      </c>
      <c r="W206" s="10">
        <f t="shared" ca="1" si="109"/>
        <v>441478.1</v>
      </c>
      <c r="X206" s="10">
        <f t="shared" ca="1" si="110"/>
        <v>77907.900000000023</v>
      </c>
      <c r="Y206" s="12">
        <f t="shared" ca="1" si="111"/>
        <v>0.15000000000000005</v>
      </c>
      <c r="Z206" s="2" t="str">
        <f t="shared" ca="1" si="112"/>
        <v>Cancelada</v>
      </c>
      <c r="AA206" s="8">
        <f t="shared" ca="1" si="113"/>
        <v>20</v>
      </c>
      <c r="AB206" s="2">
        <f t="shared" ca="1" si="114"/>
        <v>5</v>
      </c>
      <c r="AC206" s="2">
        <f t="shared" ca="1" si="115"/>
        <v>7</v>
      </c>
    </row>
    <row r="207" spans="1:29" x14ac:dyDescent="0.25">
      <c r="A207" s="14" t="str">
        <f t="shared" si="87"/>
        <v>VND-00207</v>
      </c>
      <c r="B207" s="5">
        <f t="shared" ca="1" si="88"/>
        <v>45328</v>
      </c>
      <c r="C207" s="2">
        <f t="shared" ca="1" si="89"/>
        <v>2024</v>
      </c>
      <c r="D207" s="2" t="str">
        <f t="shared" ca="1" si="90"/>
        <v>fevereiro</v>
      </c>
      <c r="E207" s="2" t="str">
        <f t="shared" ca="1" si="91"/>
        <v>2024/02</v>
      </c>
      <c r="F207" s="14" t="str">
        <f t="shared" ca="1" si="92"/>
        <v>CLI-7717</v>
      </c>
      <c r="G207" s="2" t="str">
        <f t="shared" ca="1" si="93"/>
        <v>Maria</v>
      </c>
      <c r="H207" s="2" t="str">
        <f t="shared" ca="1" si="94"/>
        <v>Novo</v>
      </c>
      <c r="I207" s="2" t="str">
        <f t="shared" ca="1" si="95"/>
        <v>Lucas</v>
      </c>
      <c r="J207" s="14" t="str">
        <f t="shared" ca="1" si="96"/>
        <v>VCL-8017</v>
      </c>
      <c r="K207" s="2" t="str">
        <f t="shared" ca="1" si="97"/>
        <v>Onix</v>
      </c>
      <c r="L207" s="2" t="str">
        <f t="shared" ca="1" si="98"/>
        <v>Chevrolet</v>
      </c>
      <c r="M207" s="2" t="str">
        <f t="shared" ca="1" si="99"/>
        <v>Popular</v>
      </c>
      <c r="N207" s="2">
        <f t="shared" ca="1" si="100"/>
        <v>2022</v>
      </c>
      <c r="O207" s="2" t="str">
        <f t="shared" ca="1" si="101"/>
        <v>Loja</v>
      </c>
      <c r="P207" s="2" t="str">
        <f t="shared" ca="1" si="102"/>
        <v>Sudeste</v>
      </c>
      <c r="Q207" s="2" t="str">
        <f t="shared" ca="1" si="103"/>
        <v>RJ</v>
      </c>
      <c r="R207" s="2" t="str">
        <f t="shared" ca="1" si="104"/>
        <v>Niterói</v>
      </c>
      <c r="S207" s="8">
        <f t="shared" ca="1" si="105"/>
        <v>9</v>
      </c>
      <c r="T207" s="10">
        <f t="shared" ca="1" si="106"/>
        <v>61993</v>
      </c>
      <c r="U207" s="10">
        <f t="shared" ca="1" si="107"/>
        <v>50214.33</v>
      </c>
      <c r="V207" s="10">
        <f t="shared" ca="1" si="108"/>
        <v>557937</v>
      </c>
      <c r="W207" s="10">
        <f t="shared" ca="1" si="109"/>
        <v>451928.97000000003</v>
      </c>
      <c r="X207" s="10">
        <f t="shared" ca="1" si="110"/>
        <v>106008.02999999997</v>
      </c>
      <c r="Y207" s="12">
        <f t="shared" ca="1" si="111"/>
        <v>0.18999999999999995</v>
      </c>
      <c r="Z207" s="2" t="str">
        <f t="shared" ca="1" si="112"/>
        <v>Cancelada</v>
      </c>
      <c r="AA207" s="8">
        <f t="shared" ca="1" si="113"/>
        <v>20</v>
      </c>
      <c r="AB207" s="2">
        <f t="shared" ca="1" si="114"/>
        <v>12</v>
      </c>
      <c r="AC207" s="2">
        <f t="shared" ca="1" si="115"/>
        <v>10</v>
      </c>
    </row>
    <row r="208" spans="1:29" x14ac:dyDescent="0.25">
      <c r="A208" s="14" t="str">
        <f t="shared" si="87"/>
        <v>VND-00208</v>
      </c>
      <c r="B208" s="5">
        <f t="shared" ca="1" si="88"/>
        <v>45435</v>
      </c>
      <c r="C208" s="2">
        <f t="shared" ca="1" si="89"/>
        <v>2024</v>
      </c>
      <c r="D208" s="2" t="str">
        <f t="shared" ca="1" si="90"/>
        <v>maio</v>
      </c>
      <c r="E208" s="2" t="str">
        <f t="shared" ca="1" si="91"/>
        <v>2024/05</v>
      </c>
      <c r="F208" s="14" t="str">
        <f t="shared" ca="1" si="92"/>
        <v>CLI-4307</v>
      </c>
      <c r="G208" s="2" t="str">
        <f t="shared" ca="1" si="93"/>
        <v>Juliana</v>
      </c>
      <c r="H208" s="2" t="str">
        <f t="shared" ca="1" si="94"/>
        <v>Novo</v>
      </c>
      <c r="I208" s="2" t="str">
        <f t="shared" ca="1" si="95"/>
        <v>Ricardo</v>
      </c>
      <c r="J208" s="14" t="str">
        <f t="shared" ca="1" si="96"/>
        <v>VCL-9805</v>
      </c>
      <c r="K208" s="2" t="str">
        <f t="shared" ca="1" si="97"/>
        <v>Onix</v>
      </c>
      <c r="L208" s="2" t="str">
        <f t="shared" ca="1" si="98"/>
        <v>Chevrolet</v>
      </c>
      <c r="M208" s="2" t="str">
        <f t="shared" ca="1" si="99"/>
        <v>Popular</v>
      </c>
      <c r="N208" s="2">
        <f t="shared" ca="1" si="100"/>
        <v>2022</v>
      </c>
      <c r="O208" s="2" t="str">
        <f t="shared" ca="1" si="101"/>
        <v>Loja</v>
      </c>
      <c r="P208" s="2" t="str">
        <f t="shared" ca="1" si="102"/>
        <v>Norte</v>
      </c>
      <c r="Q208" s="2" t="str">
        <f t="shared" ca="1" si="103"/>
        <v>AM</v>
      </c>
      <c r="R208" s="2" t="str">
        <f t="shared" ca="1" si="104"/>
        <v>Itacoatiara</v>
      </c>
      <c r="S208" s="8">
        <f t="shared" ca="1" si="105"/>
        <v>8</v>
      </c>
      <c r="T208" s="10">
        <f t="shared" ca="1" si="106"/>
        <v>135770</v>
      </c>
      <c r="U208" s="10">
        <f t="shared" ca="1" si="107"/>
        <v>99112.099999999991</v>
      </c>
      <c r="V208" s="10">
        <f t="shared" ca="1" si="108"/>
        <v>1086160</v>
      </c>
      <c r="W208" s="10">
        <f t="shared" ca="1" si="109"/>
        <v>792896.79999999993</v>
      </c>
      <c r="X208" s="10">
        <f t="shared" ca="1" si="110"/>
        <v>293263.20000000007</v>
      </c>
      <c r="Y208" s="12">
        <f t="shared" ca="1" si="111"/>
        <v>0.27000000000000007</v>
      </c>
      <c r="Z208" s="2" t="str">
        <f t="shared" ca="1" si="112"/>
        <v>Cancelada</v>
      </c>
      <c r="AA208" s="8">
        <f t="shared" ca="1" si="113"/>
        <v>20</v>
      </c>
      <c r="AB208" s="2">
        <f t="shared" ca="1" si="114"/>
        <v>16</v>
      </c>
      <c r="AC208" s="2">
        <f t="shared" ca="1" si="115"/>
        <v>10</v>
      </c>
    </row>
    <row r="209" spans="1:29" x14ac:dyDescent="0.25">
      <c r="A209" s="14" t="str">
        <f t="shared" si="87"/>
        <v>VND-00209</v>
      </c>
      <c r="B209" s="5">
        <f t="shared" ca="1" si="88"/>
        <v>46001</v>
      </c>
      <c r="C209" s="2">
        <f t="shared" ca="1" si="89"/>
        <v>2025</v>
      </c>
      <c r="D209" s="2" t="str">
        <f t="shared" ca="1" si="90"/>
        <v>dezembro</v>
      </c>
      <c r="E209" s="2" t="str">
        <f t="shared" ca="1" si="91"/>
        <v>2025/12</v>
      </c>
      <c r="F209" s="14" t="str">
        <f t="shared" ca="1" si="92"/>
        <v>CLI-3756</v>
      </c>
      <c r="G209" s="2" t="str">
        <f t="shared" ca="1" si="93"/>
        <v>Carlos</v>
      </c>
      <c r="H209" s="2" t="str">
        <f t="shared" ca="1" si="94"/>
        <v>Novo</v>
      </c>
      <c r="I209" s="2" t="str">
        <f t="shared" ca="1" si="95"/>
        <v>Gustavo</v>
      </c>
      <c r="J209" s="14" t="str">
        <f t="shared" ca="1" si="96"/>
        <v>VCL-9299</v>
      </c>
      <c r="K209" s="2" t="str">
        <f t="shared" ca="1" si="97"/>
        <v>Onix</v>
      </c>
      <c r="L209" s="2" t="str">
        <f t="shared" ca="1" si="98"/>
        <v>Chevrolet</v>
      </c>
      <c r="M209" s="2" t="str">
        <f t="shared" ca="1" si="99"/>
        <v>Popular</v>
      </c>
      <c r="N209" s="2">
        <f t="shared" ca="1" si="100"/>
        <v>2023</v>
      </c>
      <c r="O209" s="2" t="str">
        <f t="shared" ca="1" si="101"/>
        <v>Loja</v>
      </c>
      <c r="P209" s="2" t="str">
        <f t="shared" ca="1" si="102"/>
        <v>Centro-Oeste</v>
      </c>
      <c r="Q209" s="2" t="str">
        <f t="shared" ca="1" si="103"/>
        <v>MT</v>
      </c>
      <c r="R209" s="2" t="str">
        <f t="shared" ca="1" si="104"/>
        <v>Sinop</v>
      </c>
      <c r="S209" s="8">
        <f t="shared" ca="1" si="105"/>
        <v>7</v>
      </c>
      <c r="T209" s="10">
        <f t="shared" ca="1" si="106"/>
        <v>245866</v>
      </c>
      <c r="U209" s="10">
        <f t="shared" ca="1" si="107"/>
        <v>208986.1</v>
      </c>
      <c r="V209" s="10">
        <f t="shared" ca="1" si="108"/>
        <v>1721062</v>
      </c>
      <c r="W209" s="10">
        <f t="shared" ca="1" si="109"/>
        <v>1462902.7</v>
      </c>
      <c r="X209" s="10">
        <f t="shared" ca="1" si="110"/>
        <v>258159.30000000005</v>
      </c>
      <c r="Y209" s="12">
        <f t="shared" ca="1" si="111"/>
        <v>0.15000000000000002</v>
      </c>
      <c r="Z209" s="2" t="str">
        <f t="shared" ca="1" si="112"/>
        <v>Cancelada</v>
      </c>
      <c r="AA209" s="8">
        <f t="shared" ca="1" si="113"/>
        <v>19</v>
      </c>
      <c r="AB209" s="2">
        <f t="shared" ca="1" si="114"/>
        <v>15</v>
      </c>
      <c r="AC209" s="2">
        <f t="shared" ca="1" si="115"/>
        <v>10</v>
      </c>
    </row>
    <row r="210" spans="1:29" x14ac:dyDescent="0.25">
      <c r="A210" s="14" t="str">
        <f t="shared" si="87"/>
        <v>VND-00210</v>
      </c>
      <c r="B210" s="5">
        <f t="shared" ca="1" si="88"/>
        <v>45111</v>
      </c>
      <c r="C210" s="2">
        <f t="shared" ca="1" si="89"/>
        <v>2023</v>
      </c>
      <c r="D210" s="2" t="str">
        <f t="shared" ca="1" si="90"/>
        <v>julho</v>
      </c>
      <c r="E210" s="2" t="str">
        <f t="shared" ca="1" si="91"/>
        <v>2023/07</v>
      </c>
      <c r="F210" s="14" t="str">
        <f t="shared" ca="1" si="92"/>
        <v>CLI-8087</v>
      </c>
      <c r="G210" s="2" t="str">
        <f t="shared" ca="1" si="93"/>
        <v>João</v>
      </c>
      <c r="H210" s="2" t="str">
        <f t="shared" ca="1" si="94"/>
        <v>Novo</v>
      </c>
      <c r="I210" s="2" t="str">
        <f t="shared" ca="1" si="95"/>
        <v>Lucas</v>
      </c>
      <c r="J210" s="14" t="str">
        <f t="shared" ca="1" si="96"/>
        <v>VCL-1547</v>
      </c>
      <c r="K210" s="2" t="str">
        <f t="shared" ca="1" si="97"/>
        <v>HB20</v>
      </c>
      <c r="L210" s="2" t="str">
        <f t="shared" ca="1" si="98"/>
        <v>Hyundai</v>
      </c>
      <c r="M210" s="2" t="str">
        <f t="shared" ca="1" si="99"/>
        <v>Popular</v>
      </c>
      <c r="N210" s="2">
        <f t="shared" ca="1" si="100"/>
        <v>2024</v>
      </c>
      <c r="O210" s="2" t="str">
        <f t="shared" ca="1" si="101"/>
        <v>Loja</v>
      </c>
      <c r="P210" s="2" t="str">
        <f t="shared" ca="1" si="102"/>
        <v>Sudeste</v>
      </c>
      <c r="Q210" s="2" t="str">
        <f t="shared" ca="1" si="103"/>
        <v>ES</v>
      </c>
      <c r="R210" s="2" t="str">
        <f t="shared" ca="1" si="104"/>
        <v>Cariacica</v>
      </c>
      <c r="S210" s="8">
        <f t="shared" ca="1" si="105"/>
        <v>10</v>
      </c>
      <c r="T210" s="10">
        <f t="shared" ca="1" si="106"/>
        <v>85591</v>
      </c>
      <c r="U210" s="10">
        <f t="shared" ca="1" si="107"/>
        <v>65905.070000000007</v>
      </c>
      <c r="V210" s="10">
        <f t="shared" ca="1" si="108"/>
        <v>855910</v>
      </c>
      <c r="W210" s="10">
        <f t="shared" ca="1" si="109"/>
        <v>659050.70000000007</v>
      </c>
      <c r="X210" s="10">
        <f t="shared" ca="1" si="110"/>
        <v>196859.29999999993</v>
      </c>
      <c r="Y210" s="12">
        <f t="shared" ca="1" si="111"/>
        <v>0.22999999999999993</v>
      </c>
      <c r="Z210" s="2" t="str">
        <f t="shared" ca="1" si="112"/>
        <v>Concluída</v>
      </c>
      <c r="AA210" s="8">
        <f t="shared" ca="1" si="113"/>
        <v>18</v>
      </c>
      <c r="AB210" s="2">
        <f t="shared" ca="1" si="114"/>
        <v>28</v>
      </c>
      <c r="AC210" s="2">
        <f t="shared" ca="1" si="115"/>
        <v>10</v>
      </c>
    </row>
    <row r="211" spans="1:29" x14ac:dyDescent="0.25">
      <c r="A211" s="14" t="str">
        <f t="shared" si="87"/>
        <v>VND-00211</v>
      </c>
      <c r="B211" s="5">
        <f t="shared" ca="1" si="88"/>
        <v>46014</v>
      </c>
      <c r="C211" s="2">
        <f t="shared" ca="1" si="89"/>
        <v>2025</v>
      </c>
      <c r="D211" s="2" t="str">
        <f t="shared" ca="1" si="90"/>
        <v>dezembro</v>
      </c>
      <c r="E211" s="2" t="str">
        <f t="shared" ca="1" si="91"/>
        <v>2025/12</v>
      </c>
      <c r="F211" s="14" t="str">
        <f t="shared" ca="1" si="92"/>
        <v>CLI-6254</v>
      </c>
      <c r="G211" s="2" t="str">
        <f t="shared" ca="1" si="93"/>
        <v>Juliana</v>
      </c>
      <c r="H211" s="2" t="str">
        <f t="shared" ca="1" si="94"/>
        <v>Novo</v>
      </c>
      <c r="I211" s="2" t="str">
        <f t="shared" ca="1" si="95"/>
        <v>André</v>
      </c>
      <c r="J211" s="14" t="str">
        <f t="shared" ca="1" si="96"/>
        <v>VCL-6152</v>
      </c>
      <c r="K211" s="2" t="str">
        <f t="shared" ca="1" si="97"/>
        <v>Onix</v>
      </c>
      <c r="L211" s="2" t="str">
        <f t="shared" ca="1" si="98"/>
        <v>Chevrolet</v>
      </c>
      <c r="M211" s="2" t="str">
        <f t="shared" ca="1" si="99"/>
        <v>Popular</v>
      </c>
      <c r="N211" s="2">
        <f t="shared" ca="1" si="100"/>
        <v>2022</v>
      </c>
      <c r="O211" s="2" t="str">
        <f t="shared" ca="1" si="101"/>
        <v>Loja</v>
      </c>
      <c r="P211" s="2" t="str">
        <f t="shared" ca="1" si="102"/>
        <v>Nordeste</v>
      </c>
      <c r="Q211" s="2" t="str">
        <f t="shared" ca="1" si="103"/>
        <v>CE</v>
      </c>
      <c r="R211" s="2" t="str">
        <f t="shared" ca="1" si="104"/>
        <v>Sobral</v>
      </c>
      <c r="S211" s="8">
        <f t="shared" ca="1" si="105"/>
        <v>7</v>
      </c>
      <c r="T211" s="10">
        <f t="shared" ca="1" si="106"/>
        <v>153092</v>
      </c>
      <c r="U211" s="10">
        <f t="shared" ca="1" si="107"/>
        <v>116349.92</v>
      </c>
      <c r="V211" s="10">
        <f t="shared" ca="1" si="108"/>
        <v>1071644</v>
      </c>
      <c r="W211" s="10">
        <f t="shared" ca="1" si="109"/>
        <v>814449.44</v>
      </c>
      <c r="X211" s="10">
        <f t="shared" ca="1" si="110"/>
        <v>257194.56000000006</v>
      </c>
      <c r="Y211" s="12">
        <f t="shared" ca="1" si="111"/>
        <v>0.24000000000000005</v>
      </c>
      <c r="Z211" s="2" t="str">
        <f t="shared" ca="1" si="112"/>
        <v>Em negociação</v>
      </c>
      <c r="AA211" s="8">
        <f t="shared" ca="1" si="113"/>
        <v>28</v>
      </c>
      <c r="AB211" s="2">
        <f t="shared" ca="1" si="114"/>
        <v>17</v>
      </c>
      <c r="AC211" s="2">
        <f t="shared" ca="1" si="115"/>
        <v>10</v>
      </c>
    </row>
    <row r="212" spans="1:29" x14ac:dyDescent="0.25">
      <c r="A212" s="14" t="str">
        <f t="shared" si="87"/>
        <v>VND-00212</v>
      </c>
      <c r="B212" s="5">
        <f t="shared" ca="1" si="88"/>
        <v>45449</v>
      </c>
      <c r="C212" s="2">
        <f t="shared" ca="1" si="89"/>
        <v>2024</v>
      </c>
      <c r="D212" s="2" t="str">
        <f t="shared" ca="1" si="90"/>
        <v>junho</v>
      </c>
      <c r="E212" s="2" t="str">
        <f t="shared" ca="1" si="91"/>
        <v>2024/06</v>
      </c>
      <c r="F212" s="14" t="str">
        <f t="shared" ca="1" si="92"/>
        <v>CLI-4113</v>
      </c>
      <c r="G212" s="2" t="str">
        <f t="shared" ca="1" si="93"/>
        <v>Ana</v>
      </c>
      <c r="H212" s="2" t="str">
        <f t="shared" ca="1" si="94"/>
        <v>Recorrente</v>
      </c>
      <c r="I212" s="2" t="str">
        <f t="shared" ca="1" si="95"/>
        <v>Ricardo</v>
      </c>
      <c r="J212" s="14" t="str">
        <f t="shared" ca="1" si="96"/>
        <v>VCL-2091</v>
      </c>
      <c r="K212" s="2" t="str">
        <f t="shared" ca="1" si="97"/>
        <v>HB20</v>
      </c>
      <c r="L212" s="2" t="str">
        <f t="shared" ca="1" si="98"/>
        <v>Hyundai</v>
      </c>
      <c r="M212" s="2" t="str">
        <f t="shared" ca="1" si="99"/>
        <v>Popular</v>
      </c>
      <c r="N212" s="2">
        <f t="shared" ca="1" si="100"/>
        <v>2022</v>
      </c>
      <c r="O212" s="2" t="str">
        <f t="shared" ca="1" si="101"/>
        <v>Online</v>
      </c>
      <c r="P212" s="2" t="str">
        <f t="shared" ca="1" si="102"/>
        <v>Norte</v>
      </c>
      <c r="Q212" s="2" t="str">
        <f t="shared" ca="1" si="103"/>
        <v>PA</v>
      </c>
      <c r="R212" s="2" t="str">
        <f t="shared" ca="1" si="104"/>
        <v>Marabá</v>
      </c>
      <c r="S212" s="8">
        <f t="shared" ca="1" si="105"/>
        <v>5</v>
      </c>
      <c r="T212" s="10">
        <f t="shared" ca="1" si="106"/>
        <v>169082</v>
      </c>
      <c r="U212" s="10">
        <f t="shared" ca="1" si="107"/>
        <v>138647.24</v>
      </c>
      <c r="V212" s="10">
        <f t="shared" ca="1" si="108"/>
        <v>845410</v>
      </c>
      <c r="W212" s="10">
        <f t="shared" ca="1" si="109"/>
        <v>693236.2</v>
      </c>
      <c r="X212" s="10">
        <f t="shared" ca="1" si="110"/>
        <v>152173.80000000005</v>
      </c>
      <c r="Y212" s="12">
        <f t="shared" ca="1" si="111"/>
        <v>0.18000000000000005</v>
      </c>
      <c r="Z212" s="2" t="str">
        <f t="shared" ca="1" si="112"/>
        <v>Em negociação</v>
      </c>
      <c r="AA212" s="8">
        <f t="shared" ca="1" si="113"/>
        <v>7</v>
      </c>
      <c r="AB212" s="2">
        <f t="shared" ca="1" si="114"/>
        <v>28</v>
      </c>
      <c r="AC212" s="2">
        <f t="shared" ca="1" si="115"/>
        <v>10</v>
      </c>
    </row>
    <row r="213" spans="1:29" x14ac:dyDescent="0.25">
      <c r="A213" s="14" t="str">
        <f t="shared" si="87"/>
        <v>VND-00213</v>
      </c>
      <c r="B213" s="5">
        <f t="shared" ca="1" si="88"/>
        <v>45908</v>
      </c>
      <c r="C213" s="2">
        <f t="shared" ca="1" si="89"/>
        <v>2025</v>
      </c>
      <c r="D213" s="2" t="str">
        <f t="shared" ca="1" si="90"/>
        <v>setembro</v>
      </c>
      <c r="E213" s="2" t="str">
        <f t="shared" ca="1" si="91"/>
        <v>2025/09</v>
      </c>
      <c r="F213" s="14" t="str">
        <f t="shared" ca="1" si="92"/>
        <v>CLI-3027</v>
      </c>
      <c r="G213" s="2" t="str">
        <f t="shared" ca="1" si="93"/>
        <v>João</v>
      </c>
      <c r="H213" s="2" t="str">
        <f t="shared" ca="1" si="94"/>
        <v>Novo</v>
      </c>
      <c r="I213" s="2" t="str">
        <f t="shared" ca="1" si="95"/>
        <v>João</v>
      </c>
      <c r="J213" s="14" t="str">
        <f t="shared" ca="1" si="96"/>
        <v>VCL-2099</v>
      </c>
      <c r="K213" s="2" t="str">
        <f t="shared" ca="1" si="97"/>
        <v>Corolla</v>
      </c>
      <c r="L213" s="2" t="str">
        <f t="shared" ca="1" si="98"/>
        <v>Toyota</v>
      </c>
      <c r="M213" s="2" t="str">
        <f t="shared" ca="1" si="99"/>
        <v>SUV</v>
      </c>
      <c r="N213" s="2">
        <f t="shared" ca="1" si="100"/>
        <v>2021</v>
      </c>
      <c r="O213" s="2" t="str">
        <f t="shared" ca="1" si="101"/>
        <v>Loja</v>
      </c>
      <c r="P213" s="2" t="str">
        <f t="shared" ca="1" si="102"/>
        <v>Sudeste</v>
      </c>
      <c r="Q213" s="2" t="str">
        <f t="shared" ca="1" si="103"/>
        <v>SP</v>
      </c>
      <c r="R213" s="2" t="str">
        <f t="shared" ca="1" si="104"/>
        <v>Campinas</v>
      </c>
      <c r="S213" s="8">
        <f t="shared" ca="1" si="105"/>
        <v>4</v>
      </c>
      <c r="T213" s="10">
        <f t="shared" ca="1" si="106"/>
        <v>208775</v>
      </c>
      <c r="U213" s="10">
        <f t="shared" ca="1" si="107"/>
        <v>148230.25</v>
      </c>
      <c r="V213" s="10">
        <f t="shared" ca="1" si="108"/>
        <v>835100</v>
      </c>
      <c r="W213" s="10">
        <f t="shared" ca="1" si="109"/>
        <v>592921</v>
      </c>
      <c r="X213" s="10">
        <f t="shared" ca="1" si="110"/>
        <v>242179</v>
      </c>
      <c r="Y213" s="12">
        <f t="shared" ca="1" si="111"/>
        <v>0.28999999999999998</v>
      </c>
      <c r="Z213" s="2" t="str">
        <f t="shared" ca="1" si="112"/>
        <v>Em negociação</v>
      </c>
      <c r="AA213" s="8">
        <f t="shared" ca="1" si="113"/>
        <v>22</v>
      </c>
      <c r="AB213" s="2">
        <f t="shared" ca="1" si="114"/>
        <v>18</v>
      </c>
      <c r="AC213" s="2">
        <f t="shared" ca="1" si="115"/>
        <v>7</v>
      </c>
    </row>
    <row r="214" spans="1:29" x14ac:dyDescent="0.25">
      <c r="A214" s="14" t="str">
        <f t="shared" si="87"/>
        <v>VND-00214</v>
      </c>
      <c r="B214" s="5">
        <f t="shared" ca="1" si="88"/>
        <v>45185</v>
      </c>
      <c r="C214" s="2">
        <f t="shared" ca="1" si="89"/>
        <v>2023</v>
      </c>
      <c r="D214" s="2" t="str">
        <f t="shared" ca="1" si="90"/>
        <v>setembro</v>
      </c>
      <c r="E214" s="2" t="str">
        <f t="shared" ca="1" si="91"/>
        <v>2023/09</v>
      </c>
      <c r="F214" s="14" t="str">
        <f t="shared" ca="1" si="92"/>
        <v>CLI-6514</v>
      </c>
      <c r="G214" s="2" t="str">
        <f t="shared" ca="1" si="93"/>
        <v>Rafael</v>
      </c>
      <c r="H214" s="2" t="str">
        <f t="shared" ca="1" si="94"/>
        <v>Recorrente</v>
      </c>
      <c r="I214" s="2" t="str">
        <f t="shared" ca="1" si="95"/>
        <v>Camila</v>
      </c>
      <c r="J214" s="14" t="str">
        <f t="shared" ca="1" si="96"/>
        <v>VCL-9097</v>
      </c>
      <c r="K214" s="2" t="str">
        <f t="shared" ca="1" si="97"/>
        <v>Compass</v>
      </c>
      <c r="L214" s="2" t="str">
        <f t="shared" ca="1" si="98"/>
        <v>Jeep</v>
      </c>
      <c r="M214" s="2" t="str">
        <f t="shared" ca="1" si="99"/>
        <v>SUV</v>
      </c>
      <c r="N214" s="2">
        <f t="shared" ca="1" si="100"/>
        <v>2024</v>
      </c>
      <c r="O214" s="2" t="str">
        <f t="shared" ca="1" si="101"/>
        <v>Online</v>
      </c>
      <c r="P214" s="2" t="str">
        <f t="shared" ca="1" si="102"/>
        <v>Centro-Oeste</v>
      </c>
      <c r="Q214" s="2" t="str">
        <f t="shared" ca="1" si="103"/>
        <v>DF</v>
      </c>
      <c r="R214" s="2" t="str">
        <f t="shared" ca="1" si="104"/>
        <v>Brasília</v>
      </c>
      <c r="S214" s="8">
        <f t="shared" ca="1" si="105"/>
        <v>9</v>
      </c>
      <c r="T214" s="10">
        <f t="shared" ca="1" si="106"/>
        <v>160132</v>
      </c>
      <c r="U214" s="10">
        <f t="shared" ca="1" si="107"/>
        <v>112092.4</v>
      </c>
      <c r="V214" s="10">
        <f t="shared" ca="1" si="108"/>
        <v>1441188</v>
      </c>
      <c r="W214" s="10">
        <f t="shared" ca="1" si="109"/>
        <v>1008831.6</v>
      </c>
      <c r="X214" s="10">
        <f t="shared" ca="1" si="110"/>
        <v>432356.4</v>
      </c>
      <c r="Y214" s="12">
        <f t="shared" ca="1" si="111"/>
        <v>0.3</v>
      </c>
      <c r="Z214" s="2" t="str">
        <f t="shared" ca="1" si="112"/>
        <v>Em negociação</v>
      </c>
      <c r="AA214" s="8">
        <f t="shared" ca="1" si="113"/>
        <v>6</v>
      </c>
      <c r="AB214" s="2">
        <f t="shared" ca="1" si="114"/>
        <v>9</v>
      </c>
      <c r="AC214" s="2">
        <f t="shared" ca="1" si="115"/>
        <v>7</v>
      </c>
    </row>
    <row r="215" spans="1:29" x14ac:dyDescent="0.25">
      <c r="A215" s="14" t="str">
        <f t="shared" si="87"/>
        <v>VND-00215</v>
      </c>
      <c r="B215" s="5">
        <f t="shared" ca="1" si="88"/>
        <v>45904</v>
      </c>
      <c r="C215" s="2">
        <f t="shared" ca="1" si="89"/>
        <v>2025</v>
      </c>
      <c r="D215" s="2" t="str">
        <f t="shared" ca="1" si="90"/>
        <v>setembro</v>
      </c>
      <c r="E215" s="2" t="str">
        <f t="shared" ca="1" si="91"/>
        <v>2025/09</v>
      </c>
      <c r="F215" s="14" t="str">
        <f t="shared" ca="1" si="92"/>
        <v>CLI-3755</v>
      </c>
      <c r="G215" s="2" t="str">
        <f t="shared" ca="1" si="93"/>
        <v>Lucas</v>
      </c>
      <c r="H215" s="2" t="str">
        <f t="shared" ca="1" si="94"/>
        <v>Recorrente</v>
      </c>
      <c r="I215" s="2" t="str">
        <f t="shared" ca="1" si="95"/>
        <v>Vinicius</v>
      </c>
      <c r="J215" s="14" t="str">
        <f t="shared" ca="1" si="96"/>
        <v>VCL-3159</v>
      </c>
      <c r="K215" s="2" t="str">
        <f t="shared" ca="1" si="97"/>
        <v>Corolla</v>
      </c>
      <c r="L215" s="2" t="str">
        <f t="shared" ca="1" si="98"/>
        <v>Toyota</v>
      </c>
      <c r="M215" s="2" t="str">
        <f t="shared" ca="1" si="99"/>
        <v>SUV</v>
      </c>
      <c r="N215" s="2">
        <f t="shared" ca="1" si="100"/>
        <v>2022</v>
      </c>
      <c r="O215" s="2" t="str">
        <f t="shared" ca="1" si="101"/>
        <v>Loja</v>
      </c>
      <c r="P215" s="2" t="str">
        <f t="shared" ca="1" si="102"/>
        <v>Centro-Oeste</v>
      </c>
      <c r="Q215" s="2" t="str">
        <f t="shared" ca="1" si="103"/>
        <v>DF</v>
      </c>
      <c r="R215" s="2" t="str">
        <f t="shared" ca="1" si="104"/>
        <v>Brasília</v>
      </c>
      <c r="S215" s="8">
        <f t="shared" ca="1" si="105"/>
        <v>10</v>
      </c>
      <c r="T215" s="10">
        <f t="shared" ca="1" si="106"/>
        <v>80146</v>
      </c>
      <c r="U215" s="10">
        <f t="shared" ca="1" si="107"/>
        <v>58506.58</v>
      </c>
      <c r="V215" s="10">
        <f t="shared" ca="1" si="108"/>
        <v>801460</v>
      </c>
      <c r="W215" s="10">
        <f t="shared" ca="1" si="109"/>
        <v>585065.80000000005</v>
      </c>
      <c r="X215" s="10">
        <f t="shared" ca="1" si="110"/>
        <v>216394.19999999995</v>
      </c>
      <c r="Y215" s="12">
        <f t="shared" ca="1" si="111"/>
        <v>0.26999999999999996</v>
      </c>
      <c r="Z215" s="2" t="str">
        <f t="shared" ca="1" si="112"/>
        <v>Cancelada</v>
      </c>
      <c r="AA215" s="8">
        <f t="shared" ca="1" si="113"/>
        <v>4</v>
      </c>
      <c r="AB215" s="2">
        <f t="shared" ca="1" si="114"/>
        <v>7</v>
      </c>
      <c r="AC215" s="2">
        <f t="shared" ca="1" si="115"/>
        <v>7</v>
      </c>
    </row>
    <row r="216" spans="1:29" x14ac:dyDescent="0.25">
      <c r="A216" s="14" t="str">
        <f t="shared" si="87"/>
        <v>VND-00216</v>
      </c>
      <c r="B216" s="5">
        <f t="shared" ca="1" si="88"/>
        <v>45271</v>
      </c>
      <c r="C216" s="2">
        <f t="shared" ca="1" si="89"/>
        <v>2023</v>
      </c>
      <c r="D216" s="2" t="str">
        <f t="shared" ca="1" si="90"/>
        <v>dezembro</v>
      </c>
      <c r="E216" s="2" t="str">
        <f t="shared" ca="1" si="91"/>
        <v>2023/12</v>
      </c>
      <c r="F216" s="14" t="str">
        <f t="shared" ca="1" si="92"/>
        <v>CLI-4196</v>
      </c>
      <c r="G216" s="2" t="str">
        <f t="shared" ca="1" si="93"/>
        <v>Maria</v>
      </c>
      <c r="H216" s="2" t="str">
        <f t="shared" ca="1" si="94"/>
        <v>Novo</v>
      </c>
      <c r="I216" s="2" t="str">
        <f t="shared" ca="1" si="95"/>
        <v>Eduardo</v>
      </c>
      <c r="J216" s="14" t="str">
        <f t="shared" ca="1" si="96"/>
        <v>VCL-7684</v>
      </c>
      <c r="K216" s="2" t="str">
        <f t="shared" ca="1" si="97"/>
        <v>Compass</v>
      </c>
      <c r="L216" s="2" t="str">
        <f t="shared" ca="1" si="98"/>
        <v>Jeep</v>
      </c>
      <c r="M216" s="2" t="str">
        <f t="shared" ca="1" si="99"/>
        <v>SUV</v>
      </c>
      <c r="N216" s="2">
        <f t="shared" ca="1" si="100"/>
        <v>2019</v>
      </c>
      <c r="O216" s="2" t="str">
        <f t="shared" ca="1" si="101"/>
        <v>Loja</v>
      </c>
      <c r="P216" s="2" t="str">
        <f t="shared" ca="1" si="102"/>
        <v>Centro-Oeste</v>
      </c>
      <c r="Q216" s="2" t="str">
        <f t="shared" ca="1" si="103"/>
        <v>MT</v>
      </c>
      <c r="R216" s="2" t="str">
        <f t="shared" ca="1" si="104"/>
        <v>Tangará da Serra</v>
      </c>
      <c r="S216" s="8">
        <f t="shared" ca="1" si="105"/>
        <v>7</v>
      </c>
      <c r="T216" s="10">
        <f t="shared" ca="1" si="106"/>
        <v>132685</v>
      </c>
      <c r="U216" s="10">
        <f t="shared" ca="1" si="107"/>
        <v>99513.75</v>
      </c>
      <c r="V216" s="10">
        <f t="shared" ca="1" si="108"/>
        <v>928795</v>
      </c>
      <c r="W216" s="10">
        <f t="shared" ca="1" si="109"/>
        <v>696596.25</v>
      </c>
      <c r="X216" s="10">
        <f t="shared" ca="1" si="110"/>
        <v>232198.75</v>
      </c>
      <c r="Y216" s="12">
        <f t="shared" ca="1" si="111"/>
        <v>0.25</v>
      </c>
      <c r="Z216" s="2" t="str">
        <f t="shared" ca="1" si="112"/>
        <v>Concluída</v>
      </c>
      <c r="AA216" s="8">
        <f t="shared" ca="1" si="113"/>
        <v>27</v>
      </c>
      <c r="AB216" s="2">
        <f t="shared" ca="1" si="114"/>
        <v>15</v>
      </c>
      <c r="AC216" s="2">
        <f t="shared" ca="1" si="115"/>
        <v>7</v>
      </c>
    </row>
    <row r="217" spans="1:29" x14ac:dyDescent="0.25">
      <c r="A217" s="14" t="str">
        <f t="shared" si="87"/>
        <v>VND-00217</v>
      </c>
      <c r="B217" s="5">
        <f t="shared" ca="1" si="88"/>
        <v>45570</v>
      </c>
      <c r="C217" s="2">
        <f t="shared" ca="1" si="89"/>
        <v>2024</v>
      </c>
      <c r="D217" s="2" t="str">
        <f t="shared" ca="1" si="90"/>
        <v>outubro</v>
      </c>
      <c r="E217" s="2" t="str">
        <f t="shared" ca="1" si="91"/>
        <v>2024/10</v>
      </c>
      <c r="F217" s="14" t="str">
        <f t="shared" ca="1" si="92"/>
        <v>CLI-3364</v>
      </c>
      <c r="G217" s="2" t="str">
        <f t="shared" ca="1" si="93"/>
        <v>Juliana</v>
      </c>
      <c r="H217" s="2" t="str">
        <f t="shared" ca="1" si="94"/>
        <v>Recorrente</v>
      </c>
      <c r="I217" s="2" t="str">
        <f t="shared" ca="1" si="95"/>
        <v>Vinicius</v>
      </c>
      <c r="J217" s="14" t="str">
        <f t="shared" ca="1" si="96"/>
        <v>VCL-3809</v>
      </c>
      <c r="K217" s="2" t="str">
        <f t="shared" ca="1" si="97"/>
        <v>HB20</v>
      </c>
      <c r="L217" s="2" t="str">
        <f t="shared" ca="1" si="98"/>
        <v>Hyundai</v>
      </c>
      <c r="M217" s="2" t="str">
        <f t="shared" ca="1" si="99"/>
        <v>Popular</v>
      </c>
      <c r="N217" s="2">
        <f t="shared" ca="1" si="100"/>
        <v>2018</v>
      </c>
      <c r="O217" s="2" t="str">
        <f t="shared" ca="1" si="101"/>
        <v>Loja</v>
      </c>
      <c r="P217" s="2" t="str">
        <f t="shared" ca="1" si="102"/>
        <v>Centro-Oeste</v>
      </c>
      <c r="Q217" s="2" t="str">
        <f t="shared" ca="1" si="103"/>
        <v>MT</v>
      </c>
      <c r="R217" s="2" t="str">
        <f t="shared" ca="1" si="104"/>
        <v>Sinop</v>
      </c>
      <c r="S217" s="8">
        <f t="shared" ca="1" si="105"/>
        <v>10</v>
      </c>
      <c r="T217" s="10">
        <f t="shared" ca="1" si="106"/>
        <v>235243</v>
      </c>
      <c r="U217" s="10">
        <f t="shared" ca="1" si="107"/>
        <v>183489.54</v>
      </c>
      <c r="V217" s="10">
        <f t="shared" ca="1" si="108"/>
        <v>2352430</v>
      </c>
      <c r="W217" s="10">
        <f t="shared" ca="1" si="109"/>
        <v>1834895.4000000001</v>
      </c>
      <c r="X217" s="10">
        <f t="shared" ca="1" si="110"/>
        <v>517534.59999999986</v>
      </c>
      <c r="Y217" s="12">
        <f t="shared" ca="1" si="111"/>
        <v>0.21999999999999995</v>
      </c>
      <c r="Z217" s="2" t="str">
        <f t="shared" ca="1" si="112"/>
        <v>Cancelada</v>
      </c>
      <c r="AA217" s="8">
        <f t="shared" ca="1" si="113"/>
        <v>24</v>
      </c>
      <c r="AB217" s="2">
        <f t="shared" ca="1" si="114"/>
        <v>27</v>
      </c>
      <c r="AC217" s="2">
        <f t="shared" ca="1" si="115"/>
        <v>10</v>
      </c>
    </row>
    <row r="218" spans="1:29" x14ac:dyDescent="0.25">
      <c r="A218" s="14" t="str">
        <f t="shared" si="87"/>
        <v>VND-00218</v>
      </c>
      <c r="B218" s="5">
        <f t="shared" ca="1" si="88"/>
        <v>45115</v>
      </c>
      <c r="C218" s="2">
        <f t="shared" ca="1" si="89"/>
        <v>2023</v>
      </c>
      <c r="D218" s="2" t="str">
        <f t="shared" ca="1" si="90"/>
        <v>julho</v>
      </c>
      <c r="E218" s="2" t="str">
        <f t="shared" ca="1" si="91"/>
        <v>2023/07</v>
      </c>
      <c r="F218" s="14" t="str">
        <f t="shared" ca="1" si="92"/>
        <v>CLI-1253</v>
      </c>
      <c r="G218" s="2" t="str">
        <f t="shared" ca="1" si="93"/>
        <v>Ana</v>
      </c>
      <c r="H218" s="2" t="str">
        <f t="shared" ca="1" si="94"/>
        <v>Novo</v>
      </c>
      <c r="I218" s="2" t="str">
        <f t="shared" ca="1" si="95"/>
        <v>Roberto</v>
      </c>
      <c r="J218" s="14" t="str">
        <f t="shared" ca="1" si="96"/>
        <v>VCL-7884</v>
      </c>
      <c r="K218" s="2" t="str">
        <f t="shared" ca="1" si="97"/>
        <v>Corolla</v>
      </c>
      <c r="L218" s="2" t="str">
        <f t="shared" ca="1" si="98"/>
        <v>Toyota</v>
      </c>
      <c r="M218" s="2" t="str">
        <f t="shared" ca="1" si="99"/>
        <v>SUV</v>
      </c>
      <c r="N218" s="2">
        <f t="shared" ca="1" si="100"/>
        <v>2020</v>
      </c>
      <c r="O218" s="2" t="str">
        <f t="shared" ca="1" si="101"/>
        <v>Loja</v>
      </c>
      <c r="P218" s="2" t="str">
        <f t="shared" ca="1" si="102"/>
        <v>Nordeste</v>
      </c>
      <c r="Q218" s="2" t="str">
        <f t="shared" ca="1" si="103"/>
        <v>BA</v>
      </c>
      <c r="R218" s="2" t="str">
        <f t="shared" ca="1" si="104"/>
        <v>Camaçari</v>
      </c>
      <c r="S218" s="8">
        <f t="shared" ca="1" si="105"/>
        <v>1</v>
      </c>
      <c r="T218" s="10">
        <f t="shared" ca="1" si="106"/>
        <v>142034</v>
      </c>
      <c r="U218" s="10">
        <f t="shared" ca="1" si="107"/>
        <v>120728.9</v>
      </c>
      <c r="V218" s="10">
        <f t="shared" ca="1" si="108"/>
        <v>142034</v>
      </c>
      <c r="W218" s="10">
        <f t="shared" ca="1" si="109"/>
        <v>120728.9</v>
      </c>
      <c r="X218" s="10">
        <f t="shared" ca="1" si="110"/>
        <v>21305.100000000006</v>
      </c>
      <c r="Y218" s="12">
        <f t="shared" ca="1" si="111"/>
        <v>0.15000000000000005</v>
      </c>
      <c r="Z218" s="2" t="str">
        <f t="shared" ca="1" si="112"/>
        <v>Em negociação</v>
      </c>
      <c r="AA218" s="8">
        <f t="shared" ca="1" si="113"/>
        <v>3</v>
      </c>
      <c r="AB218" s="2">
        <f t="shared" ca="1" si="114"/>
        <v>20</v>
      </c>
      <c r="AC218" s="2">
        <f t="shared" ca="1" si="115"/>
        <v>7</v>
      </c>
    </row>
    <row r="219" spans="1:29" x14ac:dyDescent="0.25">
      <c r="A219" s="14" t="str">
        <f t="shared" si="87"/>
        <v>VND-00219</v>
      </c>
      <c r="B219" s="5">
        <f t="shared" ca="1" si="88"/>
        <v>45616</v>
      </c>
      <c r="C219" s="2">
        <f t="shared" ca="1" si="89"/>
        <v>2024</v>
      </c>
      <c r="D219" s="2" t="str">
        <f t="shared" ca="1" si="90"/>
        <v>novembro</v>
      </c>
      <c r="E219" s="2" t="str">
        <f t="shared" ca="1" si="91"/>
        <v>2024/11</v>
      </c>
      <c r="F219" s="14" t="str">
        <f t="shared" ca="1" si="92"/>
        <v>CLI-7600</v>
      </c>
      <c r="G219" s="2" t="str">
        <f t="shared" ca="1" si="93"/>
        <v>Fernanda</v>
      </c>
      <c r="H219" s="2" t="str">
        <f t="shared" ca="1" si="94"/>
        <v>Recorrente</v>
      </c>
      <c r="I219" s="2" t="str">
        <f t="shared" ca="1" si="95"/>
        <v>Patricia</v>
      </c>
      <c r="J219" s="14" t="str">
        <f t="shared" ca="1" si="96"/>
        <v>VCL-3754</v>
      </c>
      <c r="K219" s="2" t="str">
        <f t="shared" ca="1" si="97"/>
        <v>Corolla</v>
      </c>
      <c r="L219" s="2" t="str">
        <f t="shared" ca="1" si="98"/>
        <v>Toyota</v>
      </c>
      <c r="M219" s="2" t="str">
        <f t="shared" ca="1" si="99"/>
        <v>SUV</v>
      </c>
      <c r="N219" s="2">
        <f t="shared" ca="1" si="100"/>
        <v>2017</v>
      </c>
      <c r="O219" s="2" t="str">
        <f t="shared" ca="1" si="101"/>
        <v>Loja</v>
      </c>
      <c r="P219" s="2" t="str">
        <f t="shared" ca="1" si="102"/>
        <v>Nordeste</v>
      </c>
      <c r="Q219" s="2" t="str">
        <f t="shared" ca="1" si="103"/>
        <v>CE</v>
      </c>
      <c r="R219" s="2" t="str">
        <f t="shared" ca="1" si="104"/>
        <v>Caucaia</v>
      </c>
      <c r="S219" s="8">
        <f t="shared" ca="1" si="105"/>
        <v>10</v>
      </c>
      <c r="T219" s="10">
        <f t="shared" ca="1" si="106"/>
        <v>206679</v>
      </c>
      <c r="U219" s="10">
        <f t="shared" ca="1" si="107"/>
        <v>150875.66999999998</v>
      </c>
      <c r="V219" s="10">
        <f t="shared" ca="1" si="108"/>
        <v>2066790</v>
      </c>
      <c r="W219" s="10">
        <f t="shared" ca="1" si="109"/>
        <v>1508756.6999999997</v>
      </c>
      <c r="X219" s="10">
        <f t="shared" ca="1" si="110"/>
        <v>558033.30000000028</v>
      </c>
      <c r="Y219" s="12">
        <f t="shared" ca="1" si="111"/>
        <v>0.27000000000000013</v>
      </c>
      <c r="Z219" s="2" t="str">
        <f t="shared" ca="1" si="112"/>
        <v>Concluída</v>
      </c>
      <c r="AA219" s="8">
        <f t="shared" ca="1" si="113"/>
        <v>26</v>
      </c>
      <c r="AB219" s="2">
        <f t="shared" ca="1" si="114"/>
        <v>13</v>
      </c>
      <c r="AC219" s="2">
        <f t="shared" ca="1" si="115"/>
        <v>7</v>
      </c>
    </row>
    <row r="220" spans="1:29" x14ac:dyDescent="0.25">
      <c r="A220" s="14" t="str">
        <f t="shared" si="87"/>
        <v>VND-00220</v>
      </c>
      <c r="B220" s="5">
        <f t="shared" ca="1" si="88"/>
        <v>45635</v>
      </c>
      <c r="C220" s="2">
        <f t="shared" ca="1" si="89"/>
        <v>2024</v>
      </c>
      <c r="D220" s="2" t="str">
        <f t="shared" ca="1" si="90"/>
        <v>dezembro</v>
      </c>
      <c r="E220" s="2" t="str">
        <f t="shared" ca="1" si="91"/>
        <v>2024/12</v>
      </c>
      <c r="F220" s="14" t="str">
        <f t="shared" ca="1" si="92"/>
        <v>CLI-3361</v>
      </c>
      <c r="G220" s="2" t="str">
        <f t="shared" ca="1" si="93"/>
        <v>Maria</v>
      </c>
      <c r="H220" s="2" t="str">
        <f t="shared" ca="1" si="94"/>
        <v>Recorrente</v>
      </c>
      <c r="I220" s="2" t="str">
        <f t="shared" ca="1" si="95"/>
        <v>Felipe</v>
      </c>
      <c r="J220" s="14" t="str">
        <f t="shared" ca="1" si="96"/>
        <v>VCL-9973</v>
      </c>
      <c r="K220" s="2" t="str">
        <f t="shared" ca="1" si="97"/>
        <v>HB20</v>
      </c>
      <c r="L220" s="2" t="str">
        <f t="shared" ca="1" si="98"/>
        <v>Hyundai</v>
      </c>
      <c r="M220" s="2" t="str">
        <f t="shared" ca="1" si="99"/>
        <v>Popular</v>
      </c>
      <c r="N220" s="2">
        <f t="shared" ca="1" si="100"/>
        <v>2024</v>
      </c>
      <c r="O220" s="2" t="str">
        <f t="shared" ca="1" si="101"/>
        <v>Loja</v>
      </c>
      <c r="P220" s="2" t="str">
        <f t="shared" ca="1" si="102"/>
        <v>Norte</v>
      </c>
      <c r="Q220" s="2" t="str">
        <f t="shared" ca="1" si="103"/>
        <v>PA</v>
      </c>
      <c r="R220" s="2" t="str">
        <f t="shared" ca="1" si="104"/>
        <v>Belém</v>
      </c>
      <c r="S220" s="8">
        <f t="shared" ca="1" si="105"/>
        <v>3</v>
      </c>
      <c r="T220" s="10">
        <f t="shared" ca="1" si="106"/>
        <v>137702</v>
      </c>
      <c r="U220" s="10">
        <f t="shared" ca="1" si="107"/>
        <v>108784.58</v>
      </c>
      <c r="V220" s="10">
        <f t="shared" ca="1" si="108"/>
        <v>413106</v>
      </c>
      <c r="W220" s="10">
        <f t="shared" ca="1" si="109"/>
        <v>326353.74</v>
      </c>
      <c r="X220" s="10">
        <f t="shared" ca="1" si="110"/>
        <v>86752.260000000009</v>
      </c>
      <c r="Y220" s="12">
        <f t="shared" ca="1" si="111"/>
        <v>0.21000000000000002</v>
      </c>
      <c r="Z220" s="2" t="str">
        <f t="shared" ca="1" si="112"/>
        <v>Concluída</v>
      </c>
      <c r="AA220" s="8">
        <f t="shared" ca="1" si="113"/>
        <v>16</v>
      </c>
      <c r="AB220" s="2">
        <f t="shared" ca="1" si="114"/>
        <v>22</v>
      </c>
      <c r="AC220" s="2">
        <f t="shared" ca="1" si="115"/>
        <v>10</v>
      </c>
    </row>
    <row r="221" spans="1:29" x14ac:dyDescent="0.25">
      <c r="A221" s="14" t="str">
        <f t="shared" si="87"/>
        <v>VND-00221</v>
      </c>
      <c r="B221" s="5">
        <f t="shared" ca="1" si="88"/>
        <v>45365</v>
      </c>
      <c r="C221" s="2">
        <f t="shared" ca="1" si="89"/>
        <v>2024</v>
      </c>
      <c r="D221" s="2" t="str">
        <f t="shared" ca="1" si="90"/>
        <v>março</v>
      </c>
      <c r="E221" s="2" t="str">
        <f t="shared" ca="1" si="91"/>
        <v>2024/03</v>
      </c>
      <c r="F221" s="14" t="str">
        <f t="shared" ca="1" si="92"/>
        <v>CLI-5079</v>
      </c>
      <c r="G221" s="2" t="str">
        <f t="shared" ca="1" si="93"/>
        <v>Juliana</v>
      </c>
      <c r="H221" s="2" t="str">
        <f t="shared" ca="1" si="94"/>
        <v>Novo</v>
      </c>
      <c r="I221" s="2" t="str">
        <f t="shared" ca="1" si="95"/>
        <v>Lucas</v>
      </c>
      <c r="J221" s="14" t="str">
        <f t="shared" ca="1" si="96"/>
        <v>VCL-8359</v>
      </c>
      <c r="K221" s="2" t="str">
        <f t="shared" ca="1" si="97"/>
        <v>BMW X1</v>
      </c>
      <c r="L221" s="2" t="str">
        <f t="shared" ca="1" si="98"/>
        <v>BMW</v>
      </c>
      <c r="M221" s="2" t="str">
        <f t="shared" ca="1" si="99"/>
        <v>Luxo</v>
      </c>
      <c r="N221" s="2">
        <f t="shared" ca="1" si="100"/>
        <v>2023</v>
      </c>
      <c r="O221" s="2" t="str">
        <f t="shared" ca="1" si="101"/>
        <v>Online</v>
      </c>
      <c r="P221" s="2" t="str">
        <f t="shared" ca="1" si="102"/>
        <v>Sudeste</v>
      </c>
      <c r="Q221" s="2" t="str">
        <f t="shared" ca="1" si="103"/>
        <v>RJ</v>
      </c>
      <c r="R221" s="2" t="str">
        <f t="shared" ca="1" si="104"/>
        <v>Niterói</v>
      </c>
      <c r="S221" s="8">
        <f t="shared" ca="1" si="105"/>
        <v>2</v>
      </c>
      <c r="T221" s="10">
        <f t="shared" ca="1" si="106"/>
        <v>211466</v>
      </c>
      <c r="U221" s="10">
        <f t="shared" ca="1" si="107"/>
        <v>160714.16</v>
      </c>
      <c r="V221" s="10">
        <f t="shared" ca="1" si="108"/>
        <v>422932</v>
      </c>
      <c r="W221" s="10">
        <f t="shared" ca="1" si="109"/>
        <v>321428.32</v>
      </c>
      <c r="X221" s="10">
        <f t="shared" ca="1" si="110"/>
        <v>101503.67999999999</v>
      </c>
      <c r="Y221" s="12">
        <f t="shared" ca="1" si="111"/>
        <v>0.24</v>
      </c>
      <c r="Z221" s="2" t="str">
        <f t="shared" ca="1" si="112"/>
        <v>Em negociação</v>
      </c>
      <c r="AA221" s="8">
        <f t="shared" ca="1" si="113"/>
        <v>4</v>
      </c>
      <c r="AB221" s="2">
        <f t="shared" ca="1" si="114"/>
        <v>2</v>
      </c>
      <c r="AC221" s="2">
        <f t="shared" ca="1" si="115"/>
        <v>3</v>
      </c>
    </row>
    <row r="222" spans="1:29" x14ac:dyDescent="0.25">
      <c r="A222" s="14" t="str">
        <f t="shared" si="87"/>
        <v>VND-00222</v>
      </c>
      <c r="B222" s="5">
        <f t="shared" ca="1" si="88"/>
        <v>45035</v>
      </c>
      <c r="C222" s="2">
        <f t="shared" ca="1" si="89"/>
        <v>2023</v>
      </c>
      <c r="D222" s="2" t="str">
        <f t="shared" ca="1" si="90"/>
        <v>abril</v>
      </c>
      <c r="E222" s="2" t="str">
        <f t="shared" ca="1" si="91"/>
        <v>2023/04</v>
      </c>
      <c r="F222" s="14" t="str">
        <f t="shared" ca="1" si="92"/>
        <v>CLI-2906</v>
      </c>
      <c r="G222" s="2" t="str">
        <f t="shared" ca="1" si="93"/>
        <v>Juliana</v>
      </c>
      <c r="H222" s="2" t="str">
        <f t="shared" ca="1" si="94"/>
        <v>Novo</v>
      </c>
      <c r="I222" s="2" t="str">
        <f t="shared" ca="1" si="95"/>
        <v>Amanda</v>
      </c>
      <c r="J222" s="14" t="str">
        <f t="shared" ca="1" si="96"/>
        <v>VCL-9597</v>
      </c>
      <c r="K222" s="2" t="str">
        <f t="shared" ca="1" si="97"/>
        <v>Onix</v>
      </c>
      <c r="L222" s="2" t="str">
        <f t="shared" ca="1" si="98"/>
        <v>Chevrolet</v>
      </c>
      <c r="M222" s="2" t="str">
        <f t="shared" ca="1" si="99"/>
        <v>Popular</v>
      </c>
      <c r="N222" s="2">
        <f t="shared" ca="1" si="100"/>
        <v>2017</v>
      </c>
      <c r="O222" s="2" t="str">
        <f t="shared" ca="1" si="101"/>
        <v>Loja</v>
      </c>
      <c r="P222" s="2" t="str">
        <f t="shared" ca="1" si="102"/>
        <v>Norte</v>
      </c>
      <c r="Q222" s="2" t="str">
        <f t="shared" ca="1" si="103"/>
        <v>AM</v>
      </c>
      <c r="R222" s="2" t="str">
        <f t="shared" ca="1" si="104"/>
        <v>Parintins</v>
      </c>
      <c r="S222" s="8">
        <f t="shared" ca="1" si="105"/>
        <v>5</v>
      </c>
      <c r="T222" s="10">
        <f t="shared" ca="1" si="106"/>
        <v>79013</v>
      </c>
      <c r="U222" s="10">
        <f t="shared" ca="1" si="107"/>
        <v>62420.270000000004</v>
      </c>
      <c r="V222" s="10">
        <f t="shared" ca="1" si="108"/>
        <v>395065</v>
      </c>
      <c r="W222" s="10">
        <f t="shared" ca="1" si="109"/>
        <v>312101.35000000003</v>
      </c>
      <c r="X222" s="10">
        <f t="shared" ca="1" si="110"/>
        <v>82963.649999999965</v>
      </c>
      <c r="Y222" s="12">
        <f t="shared" ca="1" si="111"/>
        <v>0.20999999999999991</v>
      </c>
      <c r="Z222" s="2" t="str">
        <f t="shared" ca="1" si="112"/>
        <v>Concluída</v>
      </c>
      <c r="AA222" s="8">
        <f t="shared" ca="1" si="113"/>
        <v>22</v>
      </c>
      <c r="AB222" s="2">
        <f t="shared" ca="1" si="114"/>
        <v>22</v>
      </c>
      <c r="AC222" s="2">
        <f t="shared" ca="1" si="115"/>
        <v>10</v>
      </c>
    </row>
    <row r="223" spans="1:29" x14ac:dyDescent="0.25">
      <c r="A223" s="14" t="str">
        <f t="shared" si="87"/>
        <v>VND-00223</v>
      </c>
      <c r="B223" s="5">
        <f t="shared" ca="1" si="88"/>
        <v>45051</v>
      </c>
      <c r="C223" s="2">
        <f t="shared" ca="1" si="89"/>
        <v>2023</v>
      </c>
      <c r="D223" s="2" t="str">
        <f t="shared" ca="1" si="90"/>
        <v>maio</v>
      </c>
      <c r="E223" s="2" t="str">
        <f t="shared" ca="1" si="91"/>
        <v>2023/05</v>
      </c>
      <c r="F223" s="14" t="str">
        <f t="shared" ca="1" si="92"/>
        <v>CLI-9001</v>
      </c>
      <c r="G223" s="2" t="str">
        <f t="shared" ca="1" si="93"/>
        <v>João</v>
      </c>
      <c r="H223" s="2" t="str">
        <f t="shared" ca="1" si="94"/>
        <v>Novo</v>
      </c>
      <c r="I223" s="2" t="str">
        <f t="shared" ca="1" si="95"/>
        <v>Pedro</v>
      </c>
      <c r="J223" s="14" t="str">
        <f t="shared" ca="1" si="96"/>
        <v>VCL-8151</v>
      </c>
      <c r="K223" s="2" t="str">
        <f t="shared" ca="1" si="97"/>
        <v>BMW X1</v>
      </c>
      <c r="L223" s="2" t="str">
        <f t="shared" ca="1" si="98"/>
        <v>BMW</v>
      </c>
      <c r="M223" s="2" t="str">
        <f t="shared" ca="1" si="99"/>
        <v>Luxo</v>
      </c>
      <c r="N223" s="2">
        <f t="shared" ca="1" si="100"/>
        <v>2022</v>
      </c>
      <c r="O223" s="2" t="str">
        <f t="shared" ca="1" si="101"/>
        <v>Loja</v>
      </c>
      <c r="P223" s="2" t="str">
        <f t="shared" ca="1" si="102"/>
        <v>Sudeste</v>
      </c>
      <c r="Q223" s="2" t="str">
        <f t="shared" ca="1" si="103"/>
        <v>ES</v>
      </c>
      <c r="R223" s="2" t="str">
        <f t="shared" ca="1" si="104"/>
        <v>Vila Velha</v>
      </c>
      <c r="S223" s="8">
        <f t="shared" ca="1" si="105"/>
        <v>2</v>
      </c>
      <c r="T223" s="10">
        <f t="shared" ca="1" si="106"/>
        <v>88030</v>
      </c>
      <c r="U223" s="10">
        <f t="shared" ca="1" si="107"/>
        <v>68663.400000000009</v>
      </c>
      <c r="V223" s="10">
        <f t="shared" ca="1" si="108"/>
        <v>176060</v>
      </c>
      <c r="W223" s="10">
        <f t="shared" ca="1" si="109"/>
        <v>137326.80000000002</v>
      </c>
      <c r="X223" s="10">
        <f t="shared" ca="1" si="110"/>
        <v>38733.199999999983</v>
      </c>
      <c r="Y223" s="12">
        <f t="shared" ca="1" si="111"/>
        <v>0.21999999999999989</v>
      </c>
      <c r="Z223" s="2" t="str">
        <f t="shared" ca="1" si="112"/>
        <v>Concluída</v>
      </c>
      <c r="AA223" s="8">
        <f t="shared" ca="1" si="113"/>
        <v>26</v>
      </c>
      <c r="AB223" s="2">
        <f t="shared" ca="1" si="114"/>
        <v>2</v>
      </c>
      <c r="AC223" s="2">
        <f t="shared" ca="1" si="115"/>
        <v>3</v>
      </c>
    </row>
    <row r="224" spans="1:29" x14ac:dyDescent="0.25">
      <c r="A224" s="14" t="str">
        <f t="shared" si="87"/>
        <v>VND-00224</v>
      </c>
      <c r="B224" s="5">
        <f t="shared" ca="1" si="88"/>
        <v>45233</v>
      </c>
      <c r="C224" s="2">
        <f t="shared" ca="1" si="89"/>
        <v>2023</v>
      </c>
      <c r="D224" s="2" t="str">
        <f t="shared" ca="1" si="90"/>
        <v>novembro</v>
      </c>
      <c r="E224" s="2" t="str">
        <f t="shared" ca="1" si="91"/>
        <v>2023/11</v>
      </c>
      <c r="F224" s="14" t="str">
        <f t="shared" ca="1" si="92"/>
        <v>CLI-1872</v>
      </c>
      <c r="G224" s="2" t="str">
        <f t="shared" ca="1" si="93"/>
        <v>Maria</v>
      </c>
      <c r="H224" s="2" t="str">
        <f t="shared" ca="1" si="94"/>
        <v>Novo</v>
      </c>
      <c r="I224" s="2" t="str">
        <f t="shared" ca="1" si="95"/>
        <v>Maria</v>
      </c>
      <c r="J224" s="14" t="str">
        <f t="shared" ca="1" si="96"/>
        <v>VCL-8243</v>
      </c>
      <c r="K224" s="2" t="str">
        <f t="shared" ca="1" si="97"/>
        <v>Onix</v>
      </c>
      <c r="L224" s="2" t="str">
        <f t="shared" ca="1" si="98"/>
        <v>Chevrolet</v>
      </c>
      <c r="M224" s="2" t="str">
        <f t="shared" ca="1" si="99"/>
        <v>Popular</v>
      </c>
      <c r="N224" s="2">
        <f t="shared" ca="1" si="100"/>
        <v>2021</v>
      </c>
      <c r="O224" s="2" t="str">
        <f t="shared" ca="1" si="101"/>
        <v>Loja</v>
      </c>
      <c r="P224" s="2" t="str">
        <f t="shared" ca="1" si="102"/>
        <v>Sudeste</v>
      </c>
      <c r="Q224" s="2" t="str">
        <f t="shared" ca="1" si="103"/>
        <v>RJ</v>
      </c>
      <c r="R224" s="2" t="str">
        <f t="shared" ca="1" si="104"/>
        <v>Petrópolis</v>
      </c>
      <c r="S224" s="8">
        <f t="shared" ca="1" si="105"/>
        <v>5</v>
      </c>
      <c r="T224" s="10">
        <f t="shared" ca="1" si="106"/>
        <v>120626</v>
      </c>
      <c r="U224" s="10">
        <f t="shared" ca="1" si="107"/>
        <v>86850.72</v>
      </c>
      <c r="V224" s="10">
        <f t="shared" ca="1" si="108"/>
        <v>603130</v>
      </c>
      <c r="W224" s="10">
        <f t="shared" ca="1" si="109"/>
        <v>434253.6</v>
      </c>
      <c r="X224" s="10">
        <f t="shared" ca="1" si="110"/>
        <v>168876.40000000002</v>
      </c>
      <c r="Y224" s="12">
        <f t="shared" ca="1" si="111"/>
        <v>0.28000000000000003</v>
      </c>
      <c r="Z224" s="2" t="str">
        <f t="shared" ca="1" si="112"/>
        <v>Concluída</v>
      </c>
      <c r="AA224" s="8">
        <f t="shared" ca="1" si="113"/>
        <v>29</v>
      </c>
      <c r="AB224" s="2">
        <f t="shared" ca="1" si="114"/>
        <v>19</v>
      </c>
      <c r="AC224" s="2">
        <f t="shared" ca="1" si="115"/>
        <v>10</v>
      </c>
    </row>
    <row r="225" spans="1:29" x14ac:dyDescent="0.25">
      <c r="A225" s="14" t="str">
        <f t="shared" si="87"/>
        <v>VND-00225</v>
      </c>
      <c r="B225" s="5">
        <f t="shared" ca="1" si="88"/>
        <v>45223</v>
      </c>
      <c r="C225" s="2">
        <f t="shared" ca="1" si="89"/>
        <v>2023</v>
      </c>
      <c r="D225" s="2" t="str">
        <f t="shared" ca="1" si="90"/>
        <v>outubro</v>
      </c>
      <c r="E225" s="2" t="str">
        <f t="shared" ca="1" si="91"/>
        <v>2023/10</v>
      </c>
      <c r="F225" s="14" t="str">
        <f t="shared" ca="1" si="92"/>
        <v>CLI-2829</v>
      </c>
      <c r="G225" s="2" t="str">
        <f t="shared" ca="1" si="93"/>
        <v>Lucas</v>
      </c>
      <c r="H225" s="2" t="str">
        <f t="shared" ca="1" si="94"/>
        <v>Novo</v>
      </c>
      <c r="I225" s="2" t="str">
        <f t="shared" ca="1" si="95"/>
        <v>Ricardo</v>
      </c>
      <c r="J225" s="14" t="str">
        <f t="shared" ca="1" si="96"/>
        <v>VCL-7080</v>
      </c>
      <c r="K225" s="2" t="str">
        <f t="shared" ca="1" si="97"/>
        <v>Onix</v>
      </c>
      <c r="L225" s="2" t="str">
        <f t="shared" ca="1" si="98"/>
        <v>Chevrolet</v>
      </c>
      <c r="M225" s="2" t="str">
        <f t="shared" ca="1" si="99"/>
        <v>Popular</v>
      </c>
      <c r="N225" s="2">
        <f t="shared" ca="1" si="100"/>
        <v>2015</v>
      </c>
      <c r="O225" s="2" t="str">
        <f t="shared" ca="1" si="101"/>
        <v>Loja</v>
      </c>
      <c r="P225" s="2" t="str">
        <f t="shared" ca="1" si="102"/>
        <v>Norte</v>
      </c>
      <c r="Q225" s="2" t="str">
        <f t="shared" ca="1" si="103"/>
        <v>AM</v>
      </c>
      <c r="R225" s="2" t="str">
        <f t="shared" ca="1" si="104"/>
        <v>Parintins</v>
      </c>
      <c r="S225" s="8">
        <f t="shared" ca="1" si="105"/>
        <v>2</v>
      </c>
      <c r="T225" s="10">
        <f t="shared" ca="1" si="106"/>
        <v>74680</v>
      </c>
      <c r="U225" s="10">
        <f t="shared" ca="1" si="107"/>
        <v>56010</v>
      </c>
      <c r="V225" s="10">
        <f t="shared" ca="1" si="108"/>
        <v>149360</v>
      </c>
      <c r="W225" s="10">
        <f t="shared" ca="1" si="109"/>
        <v>112020</v>
      </c>
      <c r="X225" s="10">
        <f t="shared" ca="1" si="110"/>
        <v>37340</v>
      </c>
      <c r="Y225" s="12">
        <f t="shared" ca="1" si="111"/>
        <v>0.25</v>
      </c>
      <c r="Z225" s="2" t="str">
        <f t="shared" ca="1" si="112"/>
        <v>Cancelada</v>
      </c>
      <c r="AA225" s="8">
        <f t="shared" ca="1" si="113"/>
        <v>11</v>
      </c>
      <c r="AB225" s="2">
        <f t="shared" ca="1" si="114"/>
        <v>23</v>
      </c>
      <c r="AC225" s="2">
        <f t="shared" ca="1" si="115"/>
        <v>10</v>
      </c>
    </row>
    <row r="226" spans="1:29" x14ac:dyDescent="0.25">
      <c r="A226" s="14" t="str">
        <f t="shared" si="87"/>
        <v>VND-00226</v>
      </c>
      <c r="B226" s="5">
        <f t="shared" ca="1" si="88"/>
        <v>45248</v>
      </c>
      <c r="C226" s="2">
        <f t="shared" ca="1" si="89"/>
        <v>2023</v>
      </c>
      <c r="D226" s="2" t="str">
        <f t="shared" ca="1" si="90"/>
        <v>novembro</v>
      </c>
      <c r="E226" s="2" t="str">
        <f t="shared" ca="1" si="91"/>
        <v>2023/11</v>
      </c>
      <c r="F226" s="14" t="str">
        <f t="shared" ca="1" si="92"/>
        <v>CLI-7534</v>
      </c>
      <c r="G226" s="2" t="str">
        <f t="shared" ca="1" si="93"/>
        <v>Maria</v>
      </c>
      <c r="H226" s="2" t="str">
        <f t="shared" ca="1" si="94"/>
        <v>Novo</v>
      </c>
      <c r="I226" s="2" t="str">
        <f t="shared" ca="1" si="95"/>
        <v>Vinicius</v>
      </c>
      <c r="J226" s="14" t="str">
        <f t="shared" ca="1" si="96"/>
        <v>VCL-7348</v>
      </c>
      <c r="K226" s="2" t="str">
        <f t="shared" ca="1" si="97"/>
        <v>Onix</v>
      </c>
      <c r="L226" s="2" t="str">
        <f t="shared" ca="1" si="98"/>
        <v>Chevrolet</v>
      </c>
      <c r="M226" s="2" t="str">
        <f t="shared" ca="1" si="99"/>
        <v>Popular</v>
      </c>
      <c r="N226" s="2">
        <f t="shared" ca="1" si="100"/>
        <v>2022</v>
      </c>
      <c r="O226" s="2" t="str">
        <f t="shared" ca="1" si="101"/>
        <v>Loja</v>
      </c>
      <c r="P226" s="2" t="str">
        <f t="shared" ca="1" si="102"/>
        <v>Centro-Oeste</v>
      </c>
      <c r="Q226" s="2" t="str">
        <f t="shared" ca="1" si="103"/>
        <v>GO</v>
      </c>
      <c r="R226" s="2" t="str">
        <f t="shared" ca="1" si="104"/>
        <v>Luziânia</v>
      </c>
      <c r="S226" s="8">
        <f t="shared" ca="1" si="105"/>
        <v>3</v>
      </c>
      <c r="T226" s="10">
        <f t="shared" ca="1" si="106"/>
        <v>150115</v>
      </c>
      <c r="U226" s="10">
        <f t="shared" ca="1" si="107"/>
        <v>108082.8</v>
      </c>
      <c r="V226" s="10">
        <f t="shared" ca="1" si="108"/>
        <v>450345</v>
      </c>
      <c r="W226" s="10">
        <f t="shared" ca="1" si="109"/>
        <v>324248.40000000002</v>
      </c>
      <c r="X226" s="10">
        <f t="shared" ca="1" si="110"/>
        <v>126096.59999999998</v>
      </c>
      <c r="Y226" s="12">
        <f t="shared" ca="1" si="111"/>
        <v>0.27999999999999997</v>
      </c>
      <c r="Z226" s="2" t="str">
        <f t="shared" ca="1" si="112"/>
        <v>Cancelada</v>
      </c>
      <c r="AA226" s="8">
        <f t="shared" ca="1" si="113"/>
        <v>8</v>
      </c>
      <c r="AB226" s="2">
        <f t="shared" ca="1" si="114"/>
        <v>11</v>
      </c>
      <c r="AC226" s="2">
        <f t="shared" ca="1" si="115"/>
        <v>10</v>
      </c>
    </row>
    <row r="227" spans="1:29" x14ac:dyDescent="0.25">
      <c r="A227" s="14" t="str">
        <f t="shared" si="87"/>
        <v>VND-00227</v>
      </c>
      <c r="B227" s="5">
        <f t="shared" ca="1" si="88"/>
        <v>45191</v>
      </c>
      <c r="C227" s="2">
        <f t="shared" ca="1" si="89"/>
        <v>2023</v>
      </c>
      <c r="D227" s="2" t="str">
        <f t="shared" ca="1" si="90"/>
        <v>setembro</v>
      </c>
      <c r="E227" s="2" t="str">
        <f t="shared" ca="1" si="91"/>
        <v>2023/09</v>
      </c>
      <c r="F227" s="14" t="str">
        <f t="shared" ca="1" si="92"/>
        <v>CLI-3416</v>
      </c>
      <c r="G227" s="2" t="str">
        <f t="shared" ca="1" si="93"/>
        <v>Maria</v>
      </c>
      <c r="H227" s="2" t="str">
        <f t="shared" ca="1" si="94"/>
        <v>Recorrente</v>
      </c>
      <c r="I227" s="2" t="str">
        <f t="shared" ca="1" si="95"/>
        <v>Larissa</v>
      </c>
      <c r="J227" s="14" t="str">
        <f t="shared" ca="1" si="96"/>
        <v>VCL-7796</v>
      </c>
      <c r="K227" s="2" t="str">
        <f t="shared" ca="1" si="97"/>
        <v>Onix</v>
      </c>
      <c r="L227" s="2" t="str">
        <f t="shared" ca="1" si="98"/>
        <v>Chevrolet</v>
      </c>
      <c r="M227" s="2" t="str">
        <f t="shared" ca="1" si="99"/>
        <v>Popular</v>
      </c>
      <c r="N227" s="2">
        <f t="shared" ca="1" si="100"/>
        <v>2022</v>
      </c>
      <c r="O227" s="2" t="str">
        <f t="shared" ca="1" si="101"/>
        <v>Online</v>
      </c>
      <c r="P227" s="2" t="str">
        <f t="shared" ca="1" si="102"/>
        <v>Centro-Oeste</v>
      </c>
      <c r="Q227" s="2" t="str">
        <f t="shared" ca="1" si="103"/>
        <v>GO</v>
      </c>
      <c r="R227" s="2" t="str">
        <f t="shared" ca="1" si="104"/>
        <v>Aparecida de Goiânia</v>
      </c>
      <c r="S227" s="8">
        <f t="shared" ca="1" si="105"/>
        <v>7</v>
      </c>
      <c r="T227" s="10">
        <f t="shared" ca="1" si="106"/>
        <v>131836</v>
      </c>
      <c r="U227" s="10">
        <f t="shared" ca="1" si="107"/>
        <v>100195.36</v>
      </c>
      <c r="V227" s="10">
        <f t="shared" ca="1" si="108"/>
        <v>922852</v>
      </c>
      <c r="W227" s="10">
        <f t="shared" ca="1" si="109"/>
        <v>701367.52</v>
      </c>
      <c r="X227" s="10">
        <f t="shared" ca="1" si="110"/>
        <v>221484.47999999998</v>
      </c>
      <c r="Y227" s="12">
        <f t="shared" ca="1" si="111"/>
        <v>0.24</v>
      </c>
      <c r="Z227" s="2" t="str">
        <f t="shared" ca="1" si="112"/>
        <v>Cancelada</v>
      </c>
      <c r="AA227" s="8">
        <f t="shared" ca="1" si="113"/>
        <v>26</v>
      </c>
      <c r="AB227" s="2">
        <f t="shared" ca="1" si="114"/>
        <v>27</v>
      </c>
      <c r="AC227" s="2">
        <f t="shared" ca="1" si="115"/>
        <v>10</v>
      </c>
    </row>
    <row r="228" spans="1:29" x14ac:dyDescent="0.25">
      <c r="A228" s="14" t="str">
        <f t="shared" si="87"/>
        <v>VND-00228</v>
      </c>
      <c r="B228" s="5">
        <f t="shared" ca="1" si="88"/>
        <v>44949</v>
      </c>
      <c r="C228" s="2">
        <f t="shared" ca="1" si="89"/>
        <v>2023</v>
      </c>
      <c r="D228" s="2" t="str">
        <f t="shared" ca="1" si="90"/>
        <v>janeiro</v>
      </c>
      <c r="E228" s="2" t="str">
        <f t="shared" ca="1" si="91"/>
        <v>2023/01</v>
      </c>
      <c r="F228" s="14" t="str">
        <f t="shared" ca="1" si="92"/>
        <v>CLI-6779</v>
      </c>
      <c r="G228" s="2" t="str">
        <f t="shared" ca="1" si="93"/>
        <v>Carlos</v>
      </c>
      <c r="H228" s="2" t="str">
        <f t="shared" ca="1" si="94"/>
        <v>Recorrente</v>
      </c>
      <c r="I228" s="2" t="str">
        <f t="shared" ca="1" si="95"/>
        <v>Diego</v>
      </c>
      <c r="J228" s="14" t="str">
        <f t="shared" ca="1" si="96"/>
        <v>VCL-3188</v>
      </c>
      <c r="K228" s="2" t="str">
        <f t="shared" ca="1" si="97"/>
        <v>BMW X1</v>
      </c>
      <c r="L228" s="2" t="str">
        <f t="shared" ca="1" si="98"/>
        <v>BMW</v>
      </c>
      <c r="M228" s="2" t="str">
        <f t="shared" ca="1" si="99"/>
        <v>Luxo</v>
      </c>
      <c r="N228" s="2">
        <f t="shared" ca="1" si="100"/>
        <v>2017</v>
      </c>
      <c r="O228" s="2" t="str">
        <f t="shared" ca="1" si="101"/>
        <v>Loja</v>
      </c>
      <c r="P228" s="2" t="str">
        <f t="shared" ca="1" si="102"/>
        <v>Nordeste</v>
      </c>
      <c r="Q228" s="2" t="str">
        <f t="shared" ca="1" si="103"/>
        <v>CE</v>
      </c>
      <c r="R228" s="2" t="str">
        <f t="shared" ca="1" si="104"/>
        <v>Caucaia</v>
      </c>
      <c r="S228" s="8">
        <f t="shared" ca="1" si="105"/>
        <v>2</v>
      </c>
      <c r="T228" s="10">
        <f t="shared" ca="1" si="106"/>
        <v>120513</v>
      </c>
      <c r="U228" s="10">
        <f t="shared" ca="1" si="107"/>
        <v>101230.92</v>
      </c>
      <c r="V228" s="10">
        <f t="shared" ca="1" si="108"/>
        <v>241026</v>
      </c>
      <c r="W228" s="10">
        <f t="shared" ca="1" si="109"/>
        <v>202461.84</v>
      </c>
      <c r="X228" s="10">
        <f t="shared" ca="1" si="110"/>
        <v>38564.160000000003</v>
      </c>
      <c r="Y228" s="12">
        <f t="shared" ca="1" si="111"/>
        <v>0.16</v>
      </c>
      <c r="Z228" s="2" t="str">
        <f t="shared" ca="1" si="112"/>
        <v>Cancelada</v>
      </c>
      <c r="AA228" s="8">
        <f t="shared" ca="1" si="113"/>
        <v>11</v>
      </c>
      <c r="AB228" s="2">
        <f t="shared" ca="1" si="114"/>
        <v>3</v>
      </c>
      <c r="AC228" s="2">
        <f t="shared" ca="1" si="115"/>
        <v>3</v>
      </c>
    </row>
    <row r="229" spans="1:29" x14ac:dyDescent="0.25">
      <c r="A229" s="14" t="str">
        <f t="shared" si="87"/>
        <v>VND-00229</v>
      </c>
      <c r="B229" s="5">
        <f t="shared" ca="1" si="88"/>
        <v>45563</v>
      </c>
      <c r="C229" s="2">
        <f t="shared" ca="1" si="89"/>
        <v>2024</v>
      </c>
      <c r="D229" s="2" t="str">
        <f t="shared" ca="1" si="90"/>
        <v>setembro</v>
      </c>
      <c r="E229" s="2" t="str">
        <f t="shared" ca="1" si="91"/>
        <v>2024/09</v>
      </c>
      <c r="F229" s="14" t="str">
        <f t="shared" ca="1" si="92"/>
        <v>CLI-8490</v>
      </c>
      <c r="G229" s="2" t="str">
        <f t="shared" ca="1" si="93"/>
        <v>Juliana</v>
      </c>
      <c r="H229" s="2" t="str">
        <f t="shared" ca="1" si="94"/>
        <v>Recorrente</v>
      </c>
      <c r="I229" s="2" t="str">
        <f t="shared" ca="1" si="95"/>
        <v>Marcos</v>
      </c>
      <c r="J229" s="14" t="str">
        <f t="shared" ca="1" si="96"/>
        <v>VCL-1900</v>
      </c>
      <c r="K229" s="2" t="str">
        <f t="shared" ca="1" si="97"/>
        <v>Onix</v>
      </c>
      <c r="L229" s="2" t="str">
        <f t="shared" ca="1" si="98"/>
        <v>Chevrolet</v>
      </c>
      <c r="M229" s="2" t="str">
        <f t="shared" ca="1" si="99"/>
        <v>Popular</v>
      </c>
      <c r="N229" s="2">
        <f t="shared" ca="1" si="100"/>
        <v>2017</v>
      </c>
      <c r="O229" s="2" t="str">
        <f t="shared" ca="1" si="101"/>
        <v>Loja</v>
      </c>
      <c r="P229" s="2" t="str">
        <f t="shared" ca="1" si="102"/>
        <v>Sul</v>
      </c>
      <c r="Q229" s="2" t="str">
        <f t="shared" ca="1" si="103"/>
        <v>PR</v>
      </c>
      <c r="R229" s="2" t="str">
        <f t="shared" ca="1" si="104"/>
        <v>Ponta Grossa</v>
      </c>
      <c r="S229" s="8">
        <f t="shared" ca="1" si="105"/>
        <v>8</v>
      </c>
      <c r="T229" s="10">
        <f t="shared" ca="1" si="106"/>
        <v>181263</v>
      </c>
      <c r="U229" s="10">
        <f t="shared" ca="1" si="107"/>
        <v>137759.88</v>
      </c>
      <c r="V229" s="10">
        <f t="shared" ca="1" si="108"/>
        <v>1450104</v>
      </c>
      <c r="W229" s="10">
        <f t="shared" ca="1" si="109"/>
        <v>1102079.04</v>
      </c>
      <c r="X229" s="10">
        <f t="shared" ca="1" si="110"/>
        <v>348024.95999999996</v>
      </c>
      <c r="Y229" s="12">
        <f t="shared" ca="1" si="111"/>
        <v>0.23999999999999996</v>
      </c>
      <c r="Z229" s="2" t="str">
        <f t="shared" ca="1" si="112"/>
        <v>Concluída</v>
      </c>
      <c r="AA229" s="8">
        <f t="shared" ca="1" si="113"/>
        <v>13</v>
      </c>
      <c r="AB229" s="2">
        <f t="shared" ca="1" si="114"/>
        <v>24</v>
      </c>
      <c r="AC229" s="2">
        <f t="shared" ca="1" si="115"/>
        <v>10</v>
      </c>
    </row>
    <row r="230" spans="1:29" x14ac:dyDescent="0.25">
      <c r="A230" s="14" t="str">
        <f t="shared" si="87"/>
        <v>VND-00230</v>
      </c>
      <c r="B230" s="5">
        <f t="shared" ca="1" si="88"/>
        <v>45163</v>
      </c>
      <c r="C230" s="2">
        <f t="shared" ca="1" si="89"/>
        <v>2023</v>
      </c>
      <c r="D230" s="2" t="str">
        <f t="shared" ca="1" si="90"/>
        <v>agosto</v>
      </c>
      <c r="E230" s="2" t="str">
        <f t="shared" ca="1" si="91"/>
        <v>2023/08</v>
      </c>
      <c r="F230" s="14" t="str">
        <f t="shared" ca="1" si="92"/>
        <v>CLI-3040</v>
      </c>
      <c r="G230" s="2" t="str">
        <f t="shared" ca="1" si="93"/>
        <v>Rafael</v>
      </c>
      <c r="H230" s="2" t="str">
        <f t="shared" ca="1" si="94"/>
        <v>Recorrente</v>
      </c>
      <c r="I230" s="2" t="str">
        <f t="shared" ca="1" si="95"/>
        <v>Tatiane</v>
      </c>
      <c r="J230" s="14" t="str">
        <f t="shared" ca="1" si="96"/>
        <v>VCL-7394</v>
      </c>
      <c r="K230" s="2" t="str">
        <f t="shared" ca="1" si="97"/>
        <v>HB20</v>
      </c>
      <c r="L230" s="2" t="str">
        <f t="shared" ca="1" si="98"/>
        <v>Hyundai</v>
      </c>
      <c r="M230" s="2" t="str">
        <f t="shared" ca="1" si="99"/>
        <v>Popular</v>
      </c>
      <c r="N230" s="2">
        <f t="shared" ca="1" si="100"/>
        <v>2022</v>
      </c>
      <c r="O230" s="2" t="str">
        <f t="shared" ca="1" si="101"/>
        <v>Loja</v>
      </c>
      <c r="P230" s="2" t="str">
        <f t="shared" ca="1" si="102"/>
        <v>Norte</v>
      </c>
      <c r="Q230" s="2" t="str">
        <f t="shared" ca="1" si="103"/>
        <v>PA</v>
      </c>
      <c r="R230" s="2" t="str">
        <f t="shared" ca="1" si="104"/>
        <v>Marabá</v>
      </c>
      <c r="S230" s="8">
        <f t="shared" ca="1" si="105"/>
        <v>6</v>
      </c>
      <c r="T230" s="10">
        <f t="shared" ca="1" si="106"/>
        <v>223992</v>
      </c>
      <c r="U230" s="10">
        <f t="shared" ca="1" si="107"/>
        <v>176953.68000000002</v>
      </c>
      <c r="V230" s="10">
        <f t="shared" ca="1" si="108"/>
        <v>1343952</v>
      </c>
      <c r="W230" s="10">
        <f t="shared" ca="1" si="109"/>
        <v>1061722.08</v>
      </c>
      <c r="X230" s="10">
        <f t="shared" ca="1" si="110"/>
        <v>282229.91999999993</v>
      </c>
      <c r="Y230" s="12">
        <f t="shared" ca="1" si="111"/>
        <v>0.20999999999999994</v>
      </c>
      <c r="Z230" s="2" t="str">
        <f t="shared" ca="1" si="112"/>
        <v>Cancelada</v>
      </c>
      <c r="AA230" s="8">
        <f t="shared" ca="1" si="113"/>
        <v>30</v>
      </c>
      <c r="AB230" s="2">
        <f t="shared" ca="1" si="114"/>
        <v>21</v>
      </c>
      <c r="AC230" s="2">
        <f t="shared" ca="1" si="115"/>
        <v>10</v>
      </c>
    </row>
    <row r="231" spans="1:29" x14ac:dyDescent="0.25">
      <c r="A231" s="14" t="str">
        <f t="shared" si="87"/>
        <v>VND-00231</v>
      </c>
      <c r="B231" s="5">
        <f t="shared" ca="1" si="88"/>
        <v>44939</v>
      </c>
      <c r="C231" s="2">
        <f t="shared" ca="1" si="89"/>
        <v>2023</v>
      </c>
      <c r="D231" s="2" t="str">
        <f t="shared" ca="1" si="90"/>
        <v>janeiro</v>
      </c>
      <c r="E231" s="2" t="str">
        <f t="shared" ca="1" si="91"/>
        <v>2023/01</v>
      </c>
      <c r="F231" s="14" t="str">
        <f t="shared" ca="1" si="92"/>
        <v>CLI-6528</v>
      </c>
      <c r="G231" s="2" t="str">
        <f t="shared" ca="1" si="93"/>
        <v>Ana</v>
      </c>
      <c r="H231" s="2" t="str">
        <f t="shared" ca="1" si="94"/>
        <v>Novo</v>
      </c>
      <c r="I231" s="2" t="str">
        <f t="shared" ca="1" si="95"/>
        <v>Lucas</v>
      </c>
      <c r="J231" s="14" t="str">
        <f t="shared" ca="1" si="96"/>
        <v>VCL-3349</v>
      </c>
      <c r="K231" s="2" t="str">
        <f t="shared" ca="1" si="97"/>
        <v>BMW X1</v>
      </c>
      <c r="L231" s="2" t="str">
        <f t="shared" ca="1" si="98"/>
        <v>BMW</v>
      </c>
      <c r="M231" s="2" t="str">
        <f t="shared" ca="1" si="99"/>
        <v>Luxo</v>
      </c>
      <c r="N231" s="2">
        <f t="shared" ca="1" si="100"/>
        <v>2022</v>
      </c>
      <c r="O231" s="2" t="str">
        <f t="shared" ca="1" si="101"/>
        <v>Loja</v>
      </c>
      <c r="P231" s="2" t="str">
        <f t="shared" ca="1" si="102"/>
        <v>Sudeste</v>
      </c>
      <c r="Q231" s="2" t="str">
        <f t="shared" ca="1" si="103"/>
        <v>ES</v>
      </c>
      <c r="R231" s="2" t="str">
        <f t="shared" ca="1" si="104"/>
        <v>Vila Velha</v>
      </c>
      <c r="S231" s="8">
        <f t="shared" ca="1" si="105"/>
        <v>6</v>
      </c>
      <c r="T231" s="10">
        <f t="shared" ca="1" si="106"/>
        <v>198354</v>
      </c>
      <c r="U231" s="10">
        <f t="shared" ca="1" si="107"/>
        <v>142814.88</v>
      </c>
      <c r="V231" s="10">
        <f t="shared" ca="1" si="108"/>
        <v>1190124</v>
      </c>
      <c r="W231" s="10">
        <f t="shared" ca="1" si="109"/>
        <v>856889.28</v>
      </c>
      <c r="X231" s="10">
        <f t="shared" ca="1" si="110"/>
        <v>333234.71999999997</v>
      </c>
      <c r="Y231" s="12">
        <f t="shared" ca="1" si="111"/>
        <v>0.27999999999999997</v>
      </c>
      <c r="Z231" s="2" t="str">
        <f t="shared" ca="1" si="112"/>
        <v>Em negociação</v>
      </c>
      <c r="AA231" s="8">
        <f t="shared" ca="1" si="113"/>
        <v>27</v>
      </c>
      <c r="AB231" s="2">
        <f t="shared" ca="1" si="114"/>
        <v>3</v>
      </c>
      <c r="AC231" s="2">
        <f t="shared" ca="1" si="115"/>
        <v>3</v>
      </c>
    </row>
    <row r="232" spans="1:29" x14ac:dyDescent="0.25">
      <c r="A232" s="14" t="str">
        <f t="shared" si="87"/>
        <v>VND-00232</v>
      </c>
      <c r="B232" s="5">
        <f t="shared" ca="1" si="88"/>
        <v>45069</v>
      </c>
      <c r="C232" s="2">
        <f t="shared" ca="1" si="89"/>
        <v>2023</v>
      </c>
      <c r="D232" s="2" t="str">
        <f t="shared" ca="1" si="90"/>
        <v>maio</v>
      </c>
      <c r="E232" s="2" t="str">
        <f t="shared" ca="1" si="91"/>
        <v>2023/05</v>
      </c>
      <c r="F232" s="14" t="str">
        <f t="shared" ca="1" si="92"/>
        <v>CLI-7772</v>
      </c>
      <c r="G232" s="2" t="str">
        <f t="shared" ca="1" si="93"/>
        <v>Rafael</v>
      </c>
      <c r="H232" s="2" t="str">
        <f t="shared" ca="1" si="94"/>
        <v>Novo</v>
      </c>
      <c r="I232" s="2" t="str">
        <f t="shared" ca="1" si="95"/>
        <v>João</v>
      </c>
      <c r="J232" s="14" t="str">
        <f t="shared" ca="1" si="96"/>
        <v>VCL-8257</v>
      </c>
      <c r="K232" s="2" t="str">
        <f t="shared" ca="1" si="97"/>
        <v>Onix</v>
      </c>
      <c r="L232" s="2" t="str">
        <f t="shared" ca="1" si="98"/>
        <v>Chevrolet</v>
      </c>
      <c r="M232" s="2" t="str">
        <f t="shared" ca="1" si="99"/>
        <v>Popular</v>
      </c>
      <c r="N232" s="2">
        <f t="shared" ca="1" si="100"/>
        <v>2021</v>
      </c>
      <c r="O232" s="2" t="str">
        <f t="shared" ca="1" si="101"/>
        <v>Online</v>
      </c>
      <c r="P232" s="2" t="str">
        <f t="shared" ca="1" si="102"/>
        <v>Sudeste</v>
      </c>
      <c r="Q232" s="2" t="str">
        <f t="shared" ca="1" si="103"/>
        <v>SP</v>
      </c>
      <c r="R232" s="2" t="str">
        <f t="shared" ca="1" si="104"/>
        <v>Santos</v>
      </c>
      <c r="S232" s="8">
        <f t="shared" ca="1" si="105"/>
        <v>3</v>
      </c>
      <c r="T232" s="10">
        <f t="shared" ca="1" si="106"/>
        <v>149080</v>
      </c>
      <c r="U232" s="10">
        <f t="shared" ca="1" si="107"/>
        <v>123736.4</v>
      </c>
      <c r="V232" s="10">
        <f t="shared" ca="1" si="108"/>
        <v>447240</v>
      </c>
      <c r="W232" s="10">
        <f t="shared" ca="1" si="109"/>
        <v>371209.19999999995</v>
      </c>
      <c r="X232" s="10">
        <f t="shared" ca="1" si="110"/>
        <v>76030.800000000047</v>
      </c>
      <c r="Y232" s="12">
        <f t="shared" ca="1" si="111"/>
        <v>0.1700000000000001</v>
      </c>
      <c r="Z232" s="2" t="str">
        <f t="shared" ca="1" si="112"/>
        <v>Concluída</v>
      </c>
      <c r="AA232" s="8">
        <f t="shared" ca="1" si="113"/>
        <v>14</v>
      </c>
      <c r="AB232" s="2">
        <f t="shared" ca="1" si="114"/>
        <v>11</v>
      </c>
      <c r="AC232" s="2">
        <f t="shared" ca="1" si="115"/>
        <v>10</v>
      </c>
    </row>
    <row r="233" spans="1:29" x14ac:dyDescent="0.25">
      <c r="A233" s="14" t="str">
        <f t="shared" si="87"/>
        <v>VND-00233</v>
      </c>
      <c r="B233" s="5">
        <f t="shared" ca="1" si="88"/>
        <v>45446</v>
      </c>
      <c r="C233" s="2">
        <f t="shared" ca="1" si="89"/>
        <v>2024</v>
      </c>
      <c r="D233" s="2" t="str">
        <f t="shared" ca="1" si="90"/>
        <v>junho</v>
      </c>
      <c r="E233" s="2" t="str">
        <f t="shared" ca="1" si="91"/>
        <v>2024/06</v>
      </c>
      <c r="F233" s="14" t="str">
        <f t="shared" ca="1" si="92"/>
        <v>CLI-7076</v>
      </c>
      <c r="G233" s="2" t="str">
        <f t="shared" ca="1" si="93"/>
        <v>Maria</v>
      </c>
      <c r="H233" s="2" t="str">
        <f t="shared" ca="1" si="94"/>
        <v>Novo</v>
      </c>
      <c r="I233" s="2" t="str">
        <f t="shared" ca="1" si="95"/>
        <v>Camila</v>
      </c>
      <c r="J233" s="14" t="str">
        <f t="shared" ca="1" si="96"/>
        <v>VCL-5332</v>
      </c>
      <c r="K233" s="2" t="str">
        <f t="shared" ca="1" si="97"/>
        <v>Onix</v>
      </c>
      <c r="L233" s="2" t="str">
        <f t="shared" ca="1" si="98"/>
        <v>Chevrolet</v>
      </c>
      <c r="M233" s="2" t="str">
        <f t="shared" ca="1" si="99"/>
        <v>Popular</v>
      </c>
      <c r="N233" s="2">
        <f t="shared" ca="1" si="100"/>
        <v>2020</v>
      </c>
      <c r="O233" s="2" t="str">
        <f t="shared" ca="1" si="101"/>
        <v>Loja</v>
      </c>
      <c r="P233" s="2" t="str">
        <f t="shared" ca="1" si="102"/>
        <v>Centro-Oeste</v>
      </c>
      <c r="Q233" s="2" t="str">
        <f t="shared" ca="1" si="103"/>
        <v>DF</v>
      </c>
      <c r="R233" s="2" t="str">
        <f t="shared" ca="1" si="104"/>
        <v>Brasília</v>
      </c>
      <c r="S233" s="8">
        <f t="shared" ca="1" si="105"/>
        <v>5</v>
      </c>
      <c r="T233" s="10">
        <f t="shared" ca="1" si="106"/>
        <v>198014</v>
      </c>
      <c r="U233" s="10">
        <f t="shared" ca="1" si="107"/>
        <v>158411.20000000001</v>
      </c>
      <c r="V233" s="10">
        <f t="shared" ca="1" si="108"/>
        <v>990070</v>
      </c>
      <c r="W233" s="10">
        <f t="shared" ca="1" si="109"/>
        <v>792056</v>
      </c>
      <c r="X233" s="10">
        <f t="shared" ca="1" si="110"/>
        <v>198014</v>
      </c>
      <c r="Y233" s="12">
        <f t="shared" ca="1" si="111"/>
        <v>0.2</v>
      </c>
      <c r="Z233" s="2" t="str">
        <f t="shared" ca="1" si="112"/>
        <v>Cancelada</v>
      </c>
      <c r="AA233" s="8">
        <f t="shared" ca="1" si="113"/>
        <v>24</v>
      </c>
      <c r="AB233" s="2">
        <f t="shared" ca="1" si="114"/>
        <v>15</v>
      </c>
      <c r="AC233" s="2">
        <f t="shared" ca="1" si="115"/>
        <v>10</v>
      </c>
    </row>
    <row r="234" spans="1:29" x14ac:dyDescent="0.25">
      <c r="A234" s="14" t="str">
        <f t="shared" si="87"/>
        <v>VND-00234</v>
      </c>
      <c r="B234" s="5">
        <f t="shared" ca="1" si="88"/>
        <v>45111</v>
      </c>
      <c r="C234" s="2">
        <f t="shared" ca="1" si="89"/>
        <v>2023</v>
      </c>
      <c r="D234" s="2" t="str">
        <f t="shared" ca="1" si="90"/>
        <v>julho</v>
      </c>
      <c r="E234" s="2" t="str">
        <f t="shared" ca="1" si="91"/>
        <v>2023/07</v>
      </c>
      <c r="F234" s="14" t="str">
        <f t="shared" ca="1" si="92"/>
        <v>CLI-2643</v>
      </c>
      <c r="G234" s="2" t="str">
        <f t="shared" ca="1" si="93"/>
        <v>Maria</v>
      </c>
      <c r="H234" s="2" t="str">
        <f t="shared" ca="1" si="94"/>
        <v>Recorrente</v>
      </c>
      <c r="I234" s="2" t="str">
        <f t="shared" ca="1" si="95"/>
        <v>André</v>
      </c>
      <c r="J234" s="14" t="str">
        <f t="shared" ca="1" si="96"/>
        <v>VCL-9920</v>
      </c>
      <c r="K234" s="2" t="str">
        <f t="shared" ca="1" si="97"/>
        <v>Corolla</v>
      </c>
      <c r="L234" s="2" t="str">
        <f t="shared" ca="1" si="98"/>
        <v>Toyota</v>
      </c>
      <c r="M234" s="2" t="str">
        <f t="shared" ca="1" si="99"/>
        <v>SUV</v>
      </c>
      <c r="N234" s="2">
        <f t="shared" ca="1" si="100"/>
        <v>2018</v>
      </c>
      <c r="O234" s="2" t="str">
        <f t="shared" ca="1" si="101"/>
        <v>Loja</v>
      </c>
      <c r="P234" s="2" t="str">
        <f t="shared" ca="1" si="102"/>
        <v>Nordeste</v>
      </c>
      <c r="Q234" s="2" t="str">
        <f t="shared" ca="1" si="103"/>
        <v>BA</v>
      </c>
      <c r="R234" s="2" t="str">
        <f t="shared" ca="1" si="104"/>
        <v>Camaçari</v>
      </c>
      <c r="S234" s="8">
        <f t="shared" ca="1" si="105"/>
        <v>1</v>
      </c>
      <c r="T234" s="10">
        <f t="shared" ca="1" si="106"/>
        <v>206856</v>
      </c>
      <c r="U234" s="10">
        <f t="shared" ca="1" si="107"/>
        <v>175827.6</v>
      </c>
      <c r="V234" s="10">
        <f t="shared" ca="1" si="108"/>
        <v>206856</v>
      </c>
      <c r="W234" s="10">
        <f t="shared" ca="1" si="109"/>
        <v>175827.6</v>
      </c>
      <c r="X234" s="10">
        <f t="shared" ca="1" si="110"/>
        <v>31028.399999999994</v>
      </c>
      <c r="Y234" s="12">
        <f t="shared" ca="1" si="111"/>
        <v>0.14999999999999997</v>
      </c>
      <c r="Z234" s="2" t="str">
        <f t="shared" ca="1" si="112"/>
        <v>Concluída</v>
      </c>
      <c r="AA234" s="8">
        <f t="shared" ca="1" si="113"/>
        <v>28</v>
      </c>
      <c r="AB234" s="2">
        <f t="shared" ca="1" si="114"/>
        <v>7</v>
      </c>
      <c r="AC234" s="2">
        <f t="shared" ca="1" si="115"/>
        <v>7</v>
      </c>
    </row>
    <row r="235" spans="1:29" x14ac:dyDescent="0.25">
      <c r="A235" s="14" t="str">
        <f t="shared" si="87"/>
        <v>VND-00235</v>
      </c>
      <c r="B235" s="5">
        <f t="shared" ca="1" si="88"/>
        <v>45769</v>
      </c>
      <c r="C235" s="2">
        <f t="shared" ca="1" si="89"/>
        <v>2025</v>
      </c>
      <c r="D235" s="2" t="str">
        <f t="shared" ca="1" si="90"/>
        <v>abril</v>
      </c>
      <c r="E235" s="2" t="str">
        <f t="shared" ca="1" si="91"/>
        <v>2025/04</v>
      </c>
      <c r="F235" s="14" t="str">
        <f t="shared" ca="1" si="92"/>
        <v>CLI-1423</v>
      </c>
      <c r="G235" s="2" t="str">
        <f t="shared" ca="1" si="93"/>
        <v>Rafael</v>
      </c>
      <c r="H235" s="2" t="str">
        <f t="shared" ca="1" si="94"/>
        <v>Recorrente</v>
      </c>
      <c r="I235" s="2" t="str">
        <f t="shared" ca="1" si="95"/>
        <v>Carla</v>
      </c>
      <c r="J235" s="14" t="str">
        <f t="shared" ca="1" si="96"/>
        <v>VCL-4290</v>
      </c>
      <c r="K235" s="2" t="str">
        <f t="shared" ca="1" si="97"/>
        <v>HB20</v>
      </c>
      <c r="L235" s="2" t="str">
        <f t="shared" ca="1" si="98"/>
        <v>Hyundai</v>
      </c>
      <c r="M235" s="2" t="str">
        <f t="shared" ca="1" si="99"/>
        <v>Popular</v>
      </c>
      <c r="N235" s="2">
        <f t="shared" ca="1" si="100"/>
        <v>2015</v>
      </c>
      <c r="O235" s="2" t="str">
        <f t="shared" ca="1" si="101"/>
        <v>Loja</v>
      </c>
      <c r="P235" s="2" t="str">
        <f t="shared" ca="1" si="102"/>
        <v>Sul</v>
      </c>
      <c r="Q235" s="2" t="str">
        <f t="shared" ca="1" si="103"/>
        <v>PR</v>
      </c>
      <c r="R235" s="2" t="str">
        <f t="shared" ca="1" si="104"/>
        <v>Maringá</v>
      </c>
      <c r="S235" s="8">
        <f t="shared" ca="1" si="105"/>
        <v>3</v>
      </c>
      <c r="T235" s="10">
        <f t="shared" ca="1" si="106"/>
        <v>170523</v>
      </c>
      <c r="U235" s="10">
        <f t="shared" ca="1" si="107"/>
        <v>141534.09</v>
      </c>
      <c r="V235" s="10">
        <f t="shared" ca="1" si="108"/>
        <v>511569</v>
      </c>
      <c r="W235" s="10">
        <f t="shared" ca="1" si="109"/>
        <v>424602.27</v>
      </c>
      <c r="X235" s="10">
        <f t="shared" ca="1" si="110"/>
        <v>86966.729999999981</v>
      </c>
      <c r="Y235" s="12">
        <f t="shared" ca="1" si="111"/>
        <v>0.16999999999999996</v>
      </c>
      <c r="Z235" s="2" t="str">
        <f t="shared" ca="1" si="112"/>
        <v>Cancelada</v>
      </c>
      <c r="AA235" s="8">
        <f t="shared" ca="1" si="113"/>
        <v>16</v>
      </c>
      <c r="AB235" s="2">
        <f t="shared" ca="1" si="114"/>
        <v>30</v>
      </c>
      <c r="AC235" s="2">
        <f t="shared" ca="1" si="115"/>
        <v>10</v>
      </c>
    </row>
    <row r="236" spans="1:29" x14ac:dyDescent="0.25">
      <c r="A236" s="14" t="str">
        <f t="shared" si="87"/>
        <v>VND-00236</v>
      </c>
      <c r="B236" s="5">
        <f t="shared" ca="1" si="88"/>
        <v>45979</v>
      </c>
      <c r="C236" s="2">
        <f t="shared" ca="1" si="89"/>
        <v>2025</v>
      </c>
      <c r="D236" s="2" t="str">
        <f t="shared" ca="1" si="90"/>
        <v>novembro</v>
      </c>
      <c r="E236" s="2" t="str">
        <f t="shared" ca="1" si="91"/>
        <v>2025/11</v>
      </c>
      <c r="F236" s="14" t="str">
        <f t="shared" ca="1" si="92"/>
        <v>CLI-4170</v>
      </c>
      <c r="G236" s="2" t="str">
        <f t="shared" ca="1" si="93"/>
        <v>Fernanda</v>
      </c>
      <c r="H236" s="2" t="str">
        <f t="shared" ca="1" si="94"/>
        <v>Novo</v>
      </c>
      <c r="I236" s="2" t="str">
        <f t="shared" ca="1" si="95"/>
        <v>Lucas</v>
      </c>
      <c r="J236" s="14" t="str">
        <f t="shared" ca="1" si="96"/>
        <v>VCL-1224</v>
      </c>
      <c r="K236" s="2" t="str">
        <f t="shared" ca="1" si="97"/>
        <v>Compass</v>
      </c>
      <c r="L236" s="2" t="str">
        <f t="shared" ca="1" si="98"/>
        <v>Jeep</v>
      </c>
      <c r="M236" s="2" t="str">
        <f t="shared" ca="1" si="99"/>
        <v>SUV</v>
      </c>
      <c r="N236" s="2">
        <f t="shared" ca="1" si="100"/>
        <v>2021</v>
      </c>
      <c r="O236" s="2" t="str">
        <f t="shared" ca="1" si="101"/>
        <v>Loja</v>
      </c>
      <c r="P236" s="2" t="str">
        <f t="shared" ca="1" si="102"/>
        <v>Sudeste</v>
      </c>
      <c r="Q236" s="2" t="str">
        <f t="shared" ca="1" si="103"/>
        <v>MG</v>
      </c>
      <c r="R236" s="2" t="str">
        <f t="shared" ca="1" si="104"/>
        <v>Uberlândia</v>
      </c>
      <c r="S236" s="8">
        <f t="shared" ca="1" si="105"/>
        <v>6</v>
      </c>
      <c r="T236" s="10">
        <f t="shared" ca="1" si="106"/>
        <v>191631</v>
      </c>
      <c r="U236" s="10">
        <f t="shared" ca="1" si="107"/>
        <v>137974.32</v>
      </c>
      <c r="V236" s="10">
        <f t="shared" ca="1" si="108"/>
        <v>1149786</v>
      </c>
      <c r="W236" s="10">
        <f t="shared" ca="1" si="109"/>
        <v>827845.92</v>
      </c>
      <c r="X236" s="10">
        <f t="shared" ca="1" si="110"/>
        <v>321940.07999999996</v>
      </c>
      <c r="Y236" s="12">
        <f t="shared" ca="1" si="111"/>
        <v>0.27999999999999997</v>
      </c>
      <c r="Z236" s="2" t="str">
        <f t="shared" ca="1" si="112"/>
        <v>Cancelada</v>
      </c>
      <c r="AA236" s="8">
        <f t="shared" ca="1" si="113"/>
        <v>29</v>
      </c>
      <c r="AB236" s="2">
        <f t="shared" ca="1" si="114"/>
        <v>8</v>
      </c>
      <c r="AC236" s="2">
        <f t="shared" ca="1" si="115"/>
        <v>7</v>
      </c>
    </row>
    <row r="237" spans="1:29" x14ac:dyDescent="0.25">
      <c r="A237" s="14" t="str">
        <f t="shared" si="87"/>
        <v>VND-00237</v>
      </c>
      <c r="B237" s="5">
        <f t="shared" ca="1" si="88"/>
        <v>45725</v>
      </c>
      <c r="C237" s="2">
        <f t="shared" ca="1" si="89"/>
        <v>2025</v>
      </c>
      <c r="D237" s="2" t="str">
        <f t="shared" ca="1" si="90"/>
        <v>março</v>
      </c>
      <c r="E237" s="2" t="str">
        <f t="shared" ca="1" si="91"/>
        <v>2025/03</v>
      </c>
      <c r="F237" s="14" t="str">
        <f t="shared" ca="1" si="92"/>
        <v>CLI-5042</v>
      </c>
      <c r="G237" s="2" t="str">
        <f t="shared" ca="1" si="93"/>
        <v>Maria</v>
      </c>
      <c r="H237" s="2" t="str">
        <f t="shared" ca="1" si="94"/>
        <v>Novo</v>
      </c>
      <c r="I237" s="2" t="str">
        <f t="shared" ca="1" si="95"/>
        <v>Carla</v>
      </c>
      <c r="J237" s="14" t="str">
        <f t="shared" ca="1" si="96"/>
        <v>VCL-4294</v>
      </c>
      <c r="K237" s="2" t="str">
        <f t="shared" ca="1" si="97"/>
        <v>Onix</v>
      </c>
      <c r="L237" s="2" t="str">
        <f t="shared" ca="1" si="98"/>
        <v>Chevrolet</v>
      </c>
      <c r="M237" s="2" t="str">
        <f t="shared" ca="1" si="99"/>
        <v>Popular</v>
      </c>
      <c r="N237" s="2">
        <f t="shared" ca="1" si="100"/>
        <v>2015</v>
      </c>
      <c r="O237" s="2" t="str">
        <f t="shared" ca="1" si="101"/>
        <v>Online</v>
      </c>
      <c r="P237" s="2" t="str">
        <f t="shared" ca="1" si="102"/>
        <v>Sul</v>
      </c>
      <c r="Q237" s="2" t="str">
        <f t="shared" ca="1" si="103"/>
        <v>RS</v>
      </c>
      <c r="R237" s="2" t="str">
        <f t="shared" ca="1" si="104"/>
        <v>Canoas</v>
      </c>
      <c r="S237" s="8">
        <f t="shared" ca="1" si="105"/>
        <v>1</v>
      </c>
      <c r="T237" s="10">
        <f t="shared" ca="1" si="106"/>
        <v>180468</v>
      </c>
      <c r="U237" s="10">
        <f t="shared" ca="1" si="107"/>
        <v>128132.28</v>
      </c>
      <c r="V237" s="10">
        <f t="shared" ca="1" si="108"/>
        <v>180468</v>
      </c>
      <c r="W237" s="10">
        <f t="shared" ca="1" si="109"/>
        <v>128132.28</v>
      </c>
      <c r="X237" s="10">
        <f t="shared" ca="1" si="110"/>
        <v>52335.72</v>
      </c>
      <c r="Y237" s="12">
        <f t="shared" ca="1" si="111"/>
        <v>0.28999999999999998</v>
      </c>
      <c r="Z237" s="2" t="str">
        <f t="shared" ca="1" si="112"/>
        <v>Cancelada</v>
      </c>
      <c r="AA237" s="8">
        <f t="shared" ca="1" si="113"/>
        <v>22</v>
      </c>
      <c r="AB237" s="2">
        <f t="shared" ca="1" si="114"/>
        <v>19</v>
      </c>
      <c r="AC237" s="2">
        <f t="shared" ca="1" si="115"/>
        <v>10</v>
      </c>
    </row>
    <row r="238" spans="1:29" x14ac:dyDescent="0.25">
      <c r="A238" s="14" t="str">
        <f t="shared" si="87"/>
        <v>VND-00238</v>
      </c>
      <c r="B238" s="5">
        <f t="shared" ca="1" si="88"/>
        <v>45474</v>
      </c>
      <c r="C238" s="2">
        <f t="shared" ca="1" si="89"/>
        <v>2024</v>
      </c>
      <c r="D238" s="2" t="str">
        <f t="shared" ca="1" si="90"/>
        <v>julho</v>
      </c>
      <c r="E238" s="2" t="str">
        <f t="shared" ca="1" si="91"/>
        <v>2024/07</v>
      </c>
      <c r="F238" s="14" t="str">
        <f t="shared" ca="1" si="92"/>
        <v>CLI-6678</v>
      </c>
      <c r="G238" s="2" t="str">
        <f t="shared" ca="1" si="93"/>
        <v>Ana</v>
      </c>
      <c r="H238" s="2" t="str">
        <f t="shared" ca="1" si="94"/>
        <v>Recorrente</v>
      </c>
      <c r="I238" s="2" t="str">
        <f t="shared" ca="1" si="95"/>
        <v>João</v>
      </c>
      <c r="J238" s="14" t="str">
        <f t="shared" ca="1" si="96"/>
        <v>VCL-4367</v>
      </c>
      <c r="K238" s="2" t="str">
        <f t="shared" ca="1" si="97"/>
        <v>Corolla</v>
      </c>
      <c r="L238" s="2" t="str">
        <f t="shared" ca="1" si="98"/>
        <v>Toyota</v>
      </c>
      <c r="M238" s="2" t="str">
        <f t="shared" ca="1" si="99"/>
        <v>SUV</v>
      </c>
      <c r="N238" s="2">
        <f t="shared" ca="1" si="100"/>
        <v>2015</v>
      </c>
      <c r="O238" s="2" t="str">
        <f t="shared" ca="1" si="101"/>
        <v>Loja</v>
      </c>
      <c r="P238" s="2" t="str">
        <f t="shared" ca="1" si="102"/>
        <v>Sudeste</v>
      </c>
      <c r="Q238" s="2" t="str">
        <f t="shared" ca="1" si="103"/>
        <v>MG</v>
      </c>
      <c r="R238" s="2" t="str">
        <f t="shared" ca="1" si="104"/>
        <v>Belo Horizonte</v>
      </c>
      <c r="S238" s="8">
        <f t="shared" ca="1" si="105"/>
        <v>7</v>
      </c>
      <c r="T238" s="10">
        <f t="shared" ca="1" si="106"/>
        <v>60246</v>
      </c>
      <c r="U238" s="10">
        <f t="shared" ca="1" si="107"/>
        <v>47594.340000000004</v>
      </c>
      <c r="V238" s="10">
        <f t="shared" ca="1" si="108"/>
        <v>421722</v>
      </c>
      <c r="W238" s="10">
        <f t="shared" ca="1" si="109"/>
        <v>333160.38</v>
      </c>
      <c r="X238" s="10">
        <f t="shared" ca="1" si="110"/>
        <v>88561.62</v>
      </c>
      <c r="Y238" s="12">
        <f t="shared" ca="1" si="111"/>
        <v>0.21</v>
      </c>
      <c r="Z238" s="2" t="str">
        <f t="shared" ca="1" si="112"/>
        <v>Cancelada</v>
      </c>
      <c r="AA238" s="8">
        <f t="shared" ca="1" si="113"/>
        <v>19</v>
      </c>
      <c r="AB238" s="2">
        <f t="shared" ca="1" si="114"/>
        <v>13</v>
      </c>
      <c r="AC238" s="2">
        <f t="shared" ca="1" si="115"/>
        <v>7</v>
      </c>
    </row>
    <row r="239" spans="1:29" x14ac:dyDescent="0.25">
      <c r="A239" s="14" t="str">
        <f t="shared" si="87"/>
        <v>VND-00239</v>
      </c>
      <c r="B239" s="5">
        <f t="shared" ca="1" si="88"/>
        <v>44952</v>
      </c>
      <c r="C239" s="2">
        <f t="shared" ca="1" si="89"/>
        <v>2023</v>
      </c>
      <c r="D239" s="2" t="str">
        <f t="shared" ca="1" si="90"/>
        <v>janeiro</v>
      </c>
      <c r="E239" s="2" t="str">
        <f t="shared" ca="1" si="91"/>
        <v>2023/01</v>
      </c>
      <c r="F239" s="14" t="str">
        <f t="shared" ca="1" si="92"/>
        <v>CLI-2222</v>
      </c>
      <c r="G239" s="2" t="str">
        <f t="shared" ca="1" si="93"/>
        <v>Ana</v>
      </c>
      <c r="H239" s="2" t="str">
        <f t="shared" ca="1" si="94"/>
        <v>Novo</v>
      </c>
      <c r="I239" s="2" t="str">
        <f t="shared" ca="1" si="95"/>
        <v>Fernanda</v>
      </c>
      <c r="J239" s="14" t="str">
        <f t="shared" ca="1" si="96"/>
        <v>VCL-8344</v>
      </c>
      <c r="K239" s="2" t="str">
        <f t="shared" ca="1" si="97"/>
        <v>Corolla</v>
      </c>
      <c r="L239" s="2" t="str">
        <f t="shared" ca="1" si="98"/>
        <v>Toyota</v>
      </c>
      <c r="M239" s="2" t="str">
        <f t="shared" ca="1" si="99"/>
        <v>SUV</v>
      </c>
      <c r="N239" s="2">
        <f t="shared" ca="1" si="100"/>
        <v>2022</v>
      </c>
      <c r="O239" s="2" t="str">
        <f t="shared" ca="1" si="101"/>
        <v>Loja</v>
      </c>
      <c r="P239" s="2" t="str">
        <f t="shared" ca="1" si="102"/>
        <v>Nordeste</v>
      </c>
      <c r="Q239" s="2" t="str">
        <f t="shared" ca="1" si="103"/>
        <v>BA</v>
      </c>
      <c r="R239" s="2" t="str">
        <f t="shared" ca="1" si="104"/>
        <v>Vitória da Conquista</v>
      </c>
      <c r="S239" s="8">
        <f t="shared" ca="1" si="105"/>
        <v>10</v>
      </c>
      <c r="T239" s="10">
        <f t="shared" ca="1" si="106"/>
        <v>133090</v>
      </c>
      <c r="U239" s="10">
        <f t="shared" ca="1" si="107"/>
        <v>107802.90000000001</v>
      </c>
      <c r="V239" s="10">
        <f t="shared" ca="1" si="108"/>
        <v>1330900</v>
      </c>
      <c r="W239" s="10">
        <f t="shared" ca="1" si="109"/>
        <v>1078029</v>
      </c>
      <c r="X239" s="10">
        <f t="shared" ca="1" si="110"/>
        <v>252871</v>
      </c>
      <c r="Y239" s="12">
        <f t="shared" ca="1" si="111"/>
        <v>0.19</v>
      </c>
      <c r="Z239" s="2" t="str">
        <f t="shared" ca="1" si="112"/>
        <v>Cancelada</v>
      </c>
      <c r="AA239" s="8">
        <f t="shared" ca="1" si="113"/>
        <v>24</v>
      </c>
      <c r="AB239" s="2">
        <f t="shared" ca="1" si="114"/>
        <v>14</v>
      </c>
      <c r="AC239" s="2">
        <f t="shared" ca="1" si="115"/>
        <v>7</v>
      </c>
    </row>
    <row r="240" spans="1:29" x14ac:dyDescent="0.25">
      <c r="A240" s="14" t="str">
        <f t="shared" si="87"/>
        <v>VND-00240</v>
      </c>
      <c r="B240" s="5">
        <f t="shared" ca="1" si="88"/>
        <v>45105</v>
      </c>
      <c r="C240" s="2">
        <f t="shared" ca="1" si="89"/>
        <v>2023</v>
      </c>
      <c r="D240" s="2" t="str">
        <f t="shared" ca="1" si="90"/>
        <v>junho</v>
      </c>
      <c r="E240" s="2" t="str">
        <f t="shared" ca="1" si="91"/>
        <v>2023/06</v>
      </c>
      <c r="F240" s="14" t="str">
        <f t="shared" ca="1" si="92"/>
        <v>CLI-9746</v>
      </c>
      <c r="G240" s="2" t="str">
        <f t="shared" ca="1" si="93"/>
        <v>Maria</v>
      </c>
      <c r="H240" s="2" t="str">
        <f t="shared" ca="1" si="94"/>
        <v>Recorrente</v>
      </c>
      <c r="I240" s="2" t="str">
        <f t="shared" ca="1" si="95"/>
        <v>Ana</v>
      </c>
      <c r="J240" s="14" t="str">
        <f t="shared" ca="1" si="96"/>
        <v>VCL-6227</v>
      </c>
      <c r="K240" s="2" t="str">
        <f t="shared" ca="1" si="97"/>
        <v>Onix</v>
      </c>
      <c r="L240" s="2" t="str">
        <f t="shared" ca="1" si="98"/>
        <v>Chevrolet</v>
      </c>
      <c r="M240" s="2" t="str">
        <f t="shared" ca="1" si="99"/>
        <v>Popular</v>
      </c>
      <c r="N240" s="2">
        <f t="shared" ca="1" si="100"/>
        <v>2017</v>
      </c>
      <c r="O240" s="2" t="str">
        <f t="shared" ca="1" si="101"/>
        <v>Online</v>
      </c>
      <c r="P240" s="2" t="str">
        <f t="shared" ca="1" si="102"/>
        <v>Sudeste</v>
      </c>
      <c r="Q240" s="2" t="str">
        <f t="shared" ca="1" si="103"/>
        <v>ES</v>
      </c>
      <c r="R240" s="2" t="str">
        <f t="shared" ca="1" si="104"/>
        <v>Linhares</v>
      </c>
      <c r="S240" s="8">
        <f t="shared" ca="1" si="105"/>
        <v>9</v>
      </c>
      <c r="T240" s="10">
        <f t="shared" ca="1" si="106"/>
        <v>165797</v>
      </c>
      <c r="U240" s="10">
        <f t="shared" ca="1" si="107"/>
        <v>129321.66</v>
      </c>
      <c r="V240" s="10">
        <f t="shared" ca="1" si="108"/>
        <v>1492173</v>
      </c>
      <c r="W240" s="10">
        <f t="shared" ca="1" si="109"/>
        <v>1163894.94</v>
      </c>
      <c r="X240" s="10">
        <f t="shared" ca="1" si="110"/>
        <v>328278.06000000006</v>
      </c>
      <c r="Y240" s="12">
        <f t="shared" ca="1" si="111"/>
        <v>0.22000000000000003</v>
      </c>
      <c r="Z240" s="2" t="str">
        <f t="shared" ca="1" si="112"/>
        <v>Concluída</v>
      </c>
      <c r="AA240" s="8">
        <f t="shared" ca="1" si="113"/>
        <v>13</v>
      </c>
      <c r="AB240" s="2">
        <f t="shared" ca="1" si="114"/>
        <v>24</v>
      </c>
      <c r="AC240" s="2">
        <f t="shared" ca="1" si="115"/>
        <v>10</v>
      </c>
    </row>
    <row r="241" spans="1:29" x14ac:dyDescent="0.25">
      <c r="A241" s="14" t="str">
        <f t="shared" si="87"/>
        <v>VND-00241</v>
      </c>
      <c r="B241" s="5">
        <f t="shared" ca="1" si="88"/>
        <v>45008</v>
      </c>
      <c r="C241" s="2">
        <f t="shared" ca="1" si="89"/>
        <v>2023</v>
      </c>
      <c r="D241" s="2" t="str">
        <f t="shared" ca="1" si="90"/>
        <v>março</v>
      </c>
      <c r="E241" s="2" t="str">
        <f t="shared" ca="1" si="91"/>
        <v>2023/03</v>
      </c>
      <c r="F241" s="14" t="str">
        <f t="shared" ca="1" si="92"/>
        <v>CLI-8709</v>
      </c>
      <c r="G241" s="2" t="str">
        <f t="shared" ca="1" si="93"/>
        <v>Ana</v>
      </c>
      <c r="H241" s="2" t="str">
        <f t="shared" ca="1" si="94"/>
        <v>Recorrente</v>
      </c>
      <c r="I241" s="2" t="str">
        <f t="shared" ca="1" si="95"/>
        <v>Camila</v>
      </c>
      <c r="J241" s="14" t="str">
        <f t="shared" ca="1" si="96"/>
        <v>VCL-5904</v>
      </c>
      <c r="K241" s="2" t="str">
        <f t="shared" ca="1" si="97"/>
        <v>Civic</v>
      </c>
      <c r="L241" s="2" t="str">
        <f t="shared" ca="1" si="98"/>
        <v>Honda</v>
      </c>
      <c r="M241" s="2" t="str">
        <f t="shared" ca="1" si="99"/>
        <v>SUV</v>
      </c>
      <c r="N241" s="2">
        <f t="shared" ca="1" si="100"/>
        <v>2024</v>
      </c>
      <c r="O241" s="2" t="str">
        <f t="shared" ca="1" si="101"/>
        <v>Loja</v>
      </c>
      <c r="P241" s="2" t="str">
        <f t="shared" ca="1" si="102"/>
        <v>Centro-Oeste</v>
      </c>
      <c r="Q241" s="2" t="str">
        <f t="shared" ca="1" si="103"/>
        <v>GO</v>
      </c>
      <c r="R241" s="2" t="str">
        <f t="shared" ca="1" si="104"/>
        <v>Aparecida de Goiânia</v>
      </c>
      <c r="S241" s="8">
        <f t="shared" ca="1" si="105"/>
        <v>2</v>
      </c>
      <c r="T241" s="10">
        <f t="shared" ca="1" si="106"/>
        <v>199430</v>
      </c>
      <c r="U241" s="10">
        <f t="shared" ca="1" si="107"/>
        <v>165526.9</v>
      </c>
      <c r="V241" s="10">
        <f t="shared" ca="1" si="108"/>
        <v>398860</v>
      </c>
      <c r="W241" s="10">
        <f t="shared" ca="1" si="109"/>
        <v>331053.8</v>
      </c>
      <c r="X241" s="10">
        <f t="shared" ca="1" si="110"/>
        <v>67806.200000000012</v>
      </c>
      <c r="Y241" s="12">
        <f t="shared" ca="1" si="111"/>
        <v>0.17000000000000004</v>
      </c>
      <c r="Z241" s="2" t="str">
        <f t="shared" ca="1" si="112"/>
        <v>Concluída</v>
      </c>
      <c r="AA241" s="8">
        <f t="shared" ca="1" si="113"/>
        <v>24</v>
      </c>
      <c r="AB241" s="2">
        <f t="shared" ca="1" si="114"/>
        <v>17</v>
      </c>
      <c r="AC241" s="2">
        <f t="shared" ca="1" si="115"/>
        <v>7</v>
      </c>
    </row>
    <row r="242" spans="1:29" x14ac:dyDescent="0.25">
      <c r="A242" s="14" t="str">
        <f t="shared" si="87"/>
        <v>VND-00242</v>
      </c>
      <c r="B242" s="5">
        <f t="shared" ca="1" si="88"/>
        <v>45820</v>
      </c>
      <c r="C242" s="2">
        <f t="shared" ca="1" si="89"/>
        <v>2025</v>
      </c>
      <c r="D242" s="2" t="str">
        <f t="shared" ca="1" si="90"/>
        <v>junho</v>
      </c>
      <c r="E242" s="2" t="str">
        <f t="shared" ca="1" si="91"/>
        <v>2025/06</v>
      </c>
      <c r="F242" s="14" t="str">
        <f t="shared" ca="1" si="92"/>
        <v>CLI-4110</v>
      </c>
      <c r="G242" s="2" t="str">
        <f t="shared" ca="1" si="93"/>
        <v>Rafael</v>
      </c>
      <c r="H242" s="2" t="str">
        <f t="shared" ca="1" si="94"/>
        <v>Novo</v>
      </c>
      <c r="I242" s="2" t="str">
        <f t="shared" ca="1" si="95"/>
        <v>Marcos</v>
      </c>
      <c r="J242" s="14" t="str">
        <f t="shared" ca="1" si="96"/>
        <v>VCL-2834</v>
      </c>
      <c r="K242" s="2" t="str">
        <f t="shared" ca="1" si="97"/>
        <v>Compass</v>
      </c>
      <c r="L242" s="2" t="str">
        <f t="shared" ca="1" si="98"/>
        <v>Jeep</v>
      </c>
      <c r="M242" s="2" t="str">
        <f t="shared" ca="1" si="99"/>
        <v>SUV</v>
      </c>
      <c r="N242" s="2">
        <f t="shared" ca="1" si="100"/>
        <v>2019</v>
      </c>
      <c r="O242" s="2" t="str">
        <f t="shared" ca="1" si="101"/>
        <v>Loja</v>
      </c>
      <c r="P242" s="2" t="str">
        <f t="shared" ca="1" si="102"/>
        <v>Sul</v>
      </c>
      <c r="Q242" s="2" t="str">
        <f t="shared" ca="1" si="103"/>
        <v>RS</v>
      </c>
      <c r="R242" s="2" t="str">
        <f t="shared" ca="1" si="104"/>
        <v>Pelotas</v>
      </c>
      <c r="S242" s="8">
        <f t="shared" ca="1" si="105"/>
        <v>10</v>
      </c>
      <c r="T242" s="10">
        <f t="shared" ca="1" si="106"/>
        <v>78699</v>
      </c>
      <c r="U242" s="10">
        <f t="shared" ca="1" si="107"/>
        <v>55876.289999999994</v>
      </c>
      <c r="V242" s="10">
        <f t="shared" ca="1" si="108"/>
        <v>786990</v>
      </c>
      <c r="W242" s="10">
        <f t="shared" ca="1" si="109"/>
        <v>558762.89999999991</v>
      </c>
      <c r="X242" s="10">
        <f t="shared" ca="1" si="110"/>
        <v>228227.10000000009</v>
      </c>
      <c r="Y242" s="12">
        <f t="shared" ca="1" si="111"/>
        <v>0.29000000000000009</v>
      </c>
      <c r="Z242" s="2" t="str">
        <f t="shared" ca="1" si="112"/>
        <v>Em negociação</v>
      </c>
      <c r="AA242" s="8">
        <f t="shared" ca="1" si="113"/>
        <v>12</v>
      </c>
      <c r="AB242" s="2">
        <f t="shared" ca="1" si="114"/>
        <v>18</v>
      </c>
      <c r="AC242" s="2">
        <f t="shared" ca="1" si="115"/>
        <v>7</v>
      </c>
    </row>
    <row r="243" spans="1:29" x14ac:dyDescent="0.25">
      <c r="A243" s="14" t="str">
        <f t="shared" si="87"/>
        <v>VND-00243</v>
      </c>
      <c r="B243" s="5">
        <f t="shared" ca="1" si="88"/>
        <v>45314</v>
      </c>
      <c r="C243" s="2">
        <f t="shared" ca="1" si="89"/>
        <v>2024</v>
      </c>
      <c r="D243" s="2" t="str">
        <f t="shared" ca="1" si="90"/>
        <v>janeiro</v>
      </c>
      <c r="E243" s="2" t="str">
        <f t="shared" ca="1" si="91"/>
        <v>2024/01</v>
      </c>
      <c r="F243" s="14" t="str">
        <f t="shared" ca="1" si="92"/>
        <v>CLI-7872</v>
      </c>
      <c r="G243" s="2" t="str">
        <f t="shared" ca="1" si="93"/>
        <v>Carlos</v>
      </c>
      <c r="H243" s="2" t="str">
        <f t="shared" ca="1" si="94"/>
        <v>Recorrente</v>
      </c>
      <c r="I243" s="2" t="str">
        <f t="shared" ca="1" si="95"/>
        <v>Camila</v>
      </c>
      <c r="J243" s="14" t="str">
        <f t="shared" ca="1" si="96"/>
        <v>VCL-9531</v>
      </c>
      <c r="K243" s="2" t="str">
        <f t="shared" ca="1" si="97"/>
        <v>HB20</v>
      </c>
      <c r="L243" s="2" t="str">
        <f t="shared" ca="1" si="98"/>
        <v>Hyundai</v>
      </c>
      <c r="M243" s="2" t="str">
        <f t="shared" ca="1" si="99"/>
        <v>Popular</v>
      </c>
      <c r="N243" s="2">
        <f t="shared" ca="1" si="100"/>
        <v>2015</v>
      </c>
      <c r="O243" s="2" t="str">
        <f t="shared" ca="1" si="101"/>
        <v>Loja</v>
      </c>
      <c r="P243" s="2" t="str">
        <f t="shared" ca="1" si="102"/>
        <v>Centro-Oeste</v>
      </c>
      <c r="Q243" s="2" t="str">
        <f t="shared" ca="1" si="103"/>
        <v>MT</v>
      </c>
      <c r="R243" s="2" t="str">
        <f t="shared" ca="1" si="104"/>
        <v>Sinop</v>
      </c>
      <c r="S243" s="8">
        <f t="shared" ca="1" si="105"/>
        <v>9</v>
      </c>
      <c r="T243" s="10">
        <f t="shared" ca="1" si="106"/>
        <v>220241</v>
      </c>
      <c r="U243" s="10">
        <f t="shared" ca="1" si="107"/>
        <v>173990.39</v>
      </c>
      <c r="V243" s="10">
        <f t="shared" ca="1" si="108"/>
        <v>1982169</v>
      </c>
      <c r="W243" s="10">
        <f t="shared" ca="1" si="109"/>
        <v>1565913.5100000002</v>
      </c>
      <c r="X243" s="10">
        <f t="shared" ca="1" si="110"/>
        <v>416255.48999999976</v>
      </c>
      <c r="Y243" s="12">
        <f t="shared" ca="1" si="111"/>
        <v>0.20999999999999988</v>
      </c>
      <c r="Z243" s="2" t="str">
        <f t="shared" ca="1" si="112"/>
        <v>Em negociação</v>
      </c>
      <c r="AA243" s="8">
        <f t="shared" ca="1" si="113"/>
        <v>12</v>
      </c>
      <c r="AB243" s="2">
        <f t="shared" ca="1" si="114"/>
        <v>26</v>
      </c>
      <c r="AC243" s="2">
        <f t="shared" ca="1" si="115"/>
        <v>10</v>
      </c>
    </row>
    <row r="244" spans="1:29" x14ac:dyDescent="0.25">
      <c r="A244" s="14" t="str">
        <f t="shared" si="87"/>
        <v>VND-00244</v>
      </c>
      <c r="B244" s="5">
        <f t="shared" ca="1" si="88"/>
        <v>45366</v>
      </c>
      <c r="C244" s="2">
        <f t="shared" ca="1" si="89"/>
        <v>2024</v>
      </c>
      <c r="D244" s="2" t="str">
        <f t="shared" ca="1" si="90"/>
        <v>março</v>
      </c>
      <c r="E244" s="2" t="str">
        <f t="shared" ca="1" si="91"/>
        <v>2024/03</v>
      </c>
      <c r="F244" s="14" t="str">
        <f t="shared" ca="1" si="92"/>
        <v>CLI-7788</v>
      </c>
      <c r="G244" s="2" t="str">
        <f t="shared" ca="1" si="93"/>
        <v>Maria</v>
      </c>
      <c r="H244" s="2" t="str">
        <f t="shared" ca="1" si="94"/>
        <v>Recorrente</v>
      </c>
      <c r="I244" s="2" t="str">
        <f t="shared" ca="1" si="95"/>
        <v>Pedro</v>
      </c>
      <c r="J244" s="14" t="str">
        <f t="shared" ca="1" si="96"/>
        <v>VCL-6675</v>
      </c>
      <c r="K244" s="2" t="str">
        <f t="shared" ca="1" si="97"/>
        <v>Compass</v>
      </c>
      <c r="L244" s="2" t="str">
        <f t="shared" ca="1" si="98"/>
        <v>Jeep</v>
      </c>
      <c r="M244" s="2" t="str">
        <f t="shared" ca="1" si="99"/>
        <v>SUV</v>
      </c>
      <c r="N244" s="2">
        <f t="shared" ca="1" si="100"/>
        <v>2016</v>
      </c>
      <c r="O244" s="2" t="str">
        <f t="shared" ca="1" si="101"/>
        <v>Loja</v>
      </c>
      <c r="P244" s="2" t="str">
        <f t="shared" ca="1" si="102"/>
        <v>Sudeste</v>
      </c>
      <c r="Q244" s="2" t="str">
        <f t="shared" ca="1" si="103"/>
        <v>MG</v>
      </c>
      <c r="R244" s="2" t="str">
        <f t="shared" ca="1" si="104"/>
        <v>Betim</v>
      </c>
      <c r="S244" s="8">
        <f t="shared" ca="1" si="105"/>
        <v>1</v>
      </c>
      <c r="T244" s="10">
        <f t="shared" ca="1" si="106"/>
        <v>143697</v>
      </c>
      <c r="U244" s="10">
        <f t="shared" ca="1" si="107"/>
        <v>122142.45</v>
      </c>
      <c r="V244" s="10">
        <f t="shared" ca="1" si="108"/>
        <v>143697</v>
      </c>
      <c r="W244" s="10">
        <f t="shared" ca="1" si="109"/>
        <v>122142.45</v>
      </c>
      <c r="X244" s="10">
        <f t="shared" ca="1" si="110"/>
        <v>21554.550000000003</v>
      </c>
      <c r="Y244" s="12">
        <f t="shared" ca="1" si="111"/>
        <v>0.15000000000000002</v>
      </c>
      <c r="Z244" s="2" t="str">
        <f t="shared" ca="1" si="112"/>
        <v>Concluída</v>
      </c>
      <c r="AA244" s="8">
        <f t="shared" ca="1" si="113"/>
        <v>3</v>
      </c>
      <c r="AB244" s="2">
        <f t="shared" ca="1" si="114"/>
        <v>7</v>
      </c>
      <c r="AC244" s="2">
        <f t="shared" ca="1" si="115"/>
        <v>7</v>
      </c>
    </row>
    <row r="245" spans="1:29" x14ac:dyDescent="0.25">
      <c r="A245" s="14" t="str">
        <f t="shared" si="87"/>
        <v>VND-00245</v>
      </c>
      <c r="B245" s="5">
        <f t="shared" ca="1" si="88"/>
        <v>45839</v>
      </c>
      <c r="C245" s="2">
        <f t="shared" ca="1" si="89"/>
        <v>2025</v>
      </c>
      <c r="D245" s="2" t="str">
        <f t="shared" ca="1" si="90"/>
        <v>julho</v>
      </c>
      <c r="E245" s="2" t="str">
        <f t="shared" ca="1" si="91"/>
        <v>2025/07</v>
      </c>
      <c r="F245" s="14" t="str">
        <f t="shared" ca="1" si="92"/>
        <v>CLI-6150</v>
      </c>
      <c r="G245" s="2" t="str">
        <f t="shared" ca="1" si="93"/>
        <v>Juliana</v>
      </c>
      <c r="H245" s="2" t="str">
        <f t="shared" ca="1" si="94"/>
        <v>Recorrente</v>
      </c>
      <c r="I245" s="2" t="str">
        <f t="shared" ca="1" si="95"/>
        <v>João</v>
      </c>
      <c r="J245" s="14" t="str">
        <f t="shared" ca="1" si="96"/>
        <v>VCL-9752</v>
      </c>
      <c r="K245" s="2" t="str">
        <f t="shared" ca="1" si="97"/>
        <v>Compass</v>
      </c>
      <c r="L245" s="2" t="str">
        <f t="shared" ca="1" si="98"/>
        <v>Jeep</v>
      </c>
      <c r="M245" s="2" t="str">
        <f t="shared" ca="1" si="99"/>
        <v>SUV</v>
      </c>
      <c r="N245" s="2">
        <f t="shared" ca="1" si="100"/>
        <v>2017</v>
      </c>
      <c r="O245" s="2" t="str">
        <f t="shared" ca="1" si="101"/>
        <v>Online</v>
      </c>
      <c r="P245" s="2" t="str">
        <f t="shared" ca="1" si="102"/>
        <v>Sudeste</v>
      </c>
      <c r="Q245" s="2" t="str">
        <f t="shared" ca="1" si="103"/>
        <v>RJ</v>
      </c>
      <c r="R245" s="2" t="str">
        <f t="shared" ca="1" si="104"/>
        <v>Niterói</v>
      </c>
      <c r="S245" s="8">
        <f t="shared" ca="1" si="105"/>
        <v>9</v>
      </c>
      <c r="T245" s="10">
        <f t="shared" ca="1" si="106"/>
        <v>219402</v>
      </c>
      <c r="U245" s="10">
        <f t="shared" ca="1" si="107"/>
        <v>164551.5</v>
      </c>
      <c r="V245" s="10">
        <f t="shared" ca="1" si="108"/>
        <v>1974618</v>
      </c>
      <c r="W245" s="10">
        <f t="shared" ca="1" si="109"/>
        <v>1480963.5</v>
      </c>
      <c r="X245" s="10">
        <f t="shared" ca="1" si="110"/>
        <v>493654.5</v>
      </c>
      <c r="Y245" s="12">
        <f t="shared" ca="1" si="111"/>
        <v>0.25</v>
      </c>
      <c r="Z245" s="2" t="str">
        <f t="shared" ca="1" si="112"/>
        <v>Cancelada</v>
      </c>
      <c r="AA245" s="8">
        <f t="shared" ca="1" si="113"/>
        <v>10</v>
      </c>
      <c r="AB245" s="2">
        <f t="shared" ca="1" si="114"/>
        <v>6</v>
      </c>
      <c r="AC245" s="2">
        <f t="shared" ca="1" si="115"/>
        <v>7</v>
      </c>
    </row>
    <row r="246" spans="1:29" x14ac:dyDescent="0.25">
      <c r="A246" s="14" t="str">
        <f t="shared" si="87"/>
        <v>VND-00246</v>
      </c>
      <c r="B246" s="5">
        <f t="shared" ca="1" si="88"/>
        <v>45216</v>
      </c>
      <c r="C246" s="2">
        <f t="shared" ca="1" si="89"/>
        <v>2023</v>
      </c>
      <c r="D246" s="2" t="str">
        <f t="shared" ca="1" si="90"/>
        <v>outubro</v>
      </c>
      <c r="E246" s="2" t="str">
        <f t="shared" ca="1" si="91"/>
        <v>2023/10</v>
      </c>
      <c r="F246" s="14" t="str">
        <f t="shared" ca="1" si="92"/>
        <v>CLI-6786</v>
      </c>
      <c r="G246" s="2" t="str">
        <f t="shared" ca="1" si="93"/>
        <v>João</v>
      </c>
      <c r="H246" s="2" t="str">
        <f t="shared" ca="1" si="94"/>
        <v>Novo</v>
      </c>
      <c r="I246" s="2" t="str">
        <f t="shared" ca="1" si="95"/>
        <v>Diego</v>
      </c>
      <c r="J246" s="14" t="str">
        <f t="shared" ca="1" si="96"/>
        <v>VCL-8422</v>
      </c>
      <c r="K246" s="2" t="str">
        <f t="shared" ca="1" si="97"/>
        <v>Civic</v>
      </c>
      <c r="L246" s="2" t="str">
        <f t="shared" ca="1" si="98"/>
        <v>Honda</v>
      </c>
      <c r="M246" s="2" t="str">
        <f t="shared" ca="1" si="99"/>
        <v>SUV</v>
      </c>
      <c r="N246" s="2">
        <f t="shared" ca="1" si="100"/>
        <v>2018</v>
      </c>
      <c r="O246" s="2" t="str">
        <f t="shared" ca="1" si="101"/>
        <v>Online</v>
      </c>
      <c r="P246" s="2" t="str">
        <f t="shared" ca="1" si="102"/>
        <v>Nordeste</v>
      </c>
      <c r="Q246" s="2" t="str">
        <f t="shared" ca="1" si="103"/>
        <v>BA</v>
      </c>
      <c r="R246" s="2" t="str">
        <f t="shared" ca="1" si="104"/>
        <v>Ilhéus</v>
      </c>
      <c r="S246" s="8">
        <f t="shared" ca="1" si="105"/>
        <v>1</v>
      </c>
      <c r="T246" s="10">
        <f t="shared" ca="1" si="106"/>
        <v>231496</v>
      </c>
      <c r="U246" s="10">
        <f t="shared" ca="1" si="107"/>
        <v>162047.19999999998</v>
      </c>
      <c r="V246" s="10">
        <f t="shared" ca="1" si="108"/>
        <v>231496</v>
      </c>
      <c r="W246" s="10">
        <f t="shared" ca="1" si="109"/>
        <v>162047.19999999998</v>
      </c>
      <c r="X246" s="10">
        <f t="shared" ca="1" si="110"/>
        <v>69448.800000000017</v>
      </c>
      <c r="Y246" s="12">
        <f t="shared" ca="1" si="111"/>
        <v>0.3000000000000001</v>
      </c>
      <c r="Z246" s="2" t="str">
        <f t="shared" ca="1" si="112"/>
        <v>Concluída</v>
      </c>
      <c r="AA246" s="8">
        <f t="shared" ca="1" si="113"/>
        <v>17</v>
      </c>
      <c r="AB246" s="2">
        <f t="shared" ca="1" si="114"/>
        <v>20</v>
      </c>
      <c r="AC246" s="2">
        <f t="shared" ca="1" si="115"/>
        <v>7</v>
      </c>
    </row>
    <row r="247" spans="1:29" x14ac:dyDescent="0.25">
      <c r="A247" s="14" t="str">
        <f t="shared" si="87"/>
        <v>VND-00247</v>
      </c>
      <c r="B247" s="5">
        <f t="shared" ca="1" si="88"/>
        <v>45642</v>
      </c>
      <c r="C247" s="2">
        <f t="shared" ca="1" si="89"/>
        <v>2024</v>
      </c>
      <c r="D247" s="2" t="str">
        <f t="shared" ca="1" si="90"/>
        <v>dezembro</v>
      </c>
      <c r="E247" s="2" t="str">
        <f t="shared" ca="1" si="91"/>
        <v>2024/12</v>
      </c>
      <c r="F247" s="14" t="str">
        <f t="shared" ca="1" si="92"/>
        <v>CLI-5282</v>
      </c>
      <c r="G247" s="2" t="str">
        <f t="shared" ca="1" si="93"/>
        <v>Maria</v>
      </c>
      <c r="H247" s="2" t="str">
        <f t="shared" ca="1" si="94"/>
        <v>Novo</v>
      </c>
      <c r="I247" s="2" t="str">
        <f t="shared" ca="1" si="95"/>
        <v>Eduardo</v>
      </c>
      <c r="J247" s="14" t="str">
        <f t="shared" ca="1" si="96"/>
        <v>VCL-6707</v>
      </c>
      <c r="K247" s="2" t="str">
        <f t="shared" ca="1" si="97"/>
        <v>Compass</v>
      </c>
      <c r="L247" s="2" t="str">
        <f t="shared" ca="1" si="98"/>
        <v>Jeep</v>
      </c>
      <c r="M247" s="2" t="str">
        <f t="shared" ca="1" si="99"/>
        <v>SUV</v>
      </c>
      <c r="N247" s="2">
        <f t="shared" ca="1" si="100"/>
        <v>2017</v>
      </c>
      <c r="O247" s="2" t="str">
        <f t="shared" ca="1" si="101"/>
        <v>Loja</v>
      </c>
      <c r="P247" s="2" t="str">
        <f t="shared" ca="1" si="102"/>
        <v>Centro-Oeste</v>
      </c>
      <c r="Q247" s="2" t="str">
        <f t="shared" ca="1" si="103"/>
        <v>MT</v>
      </c>
      <c r="R247" s="2" t="str">
        <f t="shared" ca="1" si="104"/>
        <v>Tangará da Serra</v>
      </c>
      <c r="S247" s="8">
        <f t="shared" ca="1" si="105"/>
        <v>4</v>
      </c>
      <c r="T247" s="10">
        <f t="shared" ca="1" si="106"/>
        <v>248415</v>
      </c>
      <c r="U247" s="10">
        <f t="shared" ca="1" si="107"/>
        <v>178858.8</v>
      </c>
      <c r="V247" s="10">
        <f t="shared" ca="1" si="108"/>
        <v>993660</v>
      </c>
      <c r="W247" s="10">
        <f t="shared" ca="1" si="109"/>
        <v>715435.2</v>
      </c>
      <c r="X247" s="10">
        <f t="shared" ca="1" si="110"/>
        <v>278224.80000000005</v>
      </c>
      <c r="Y247" s="12">
        <f t="shared" ca="1" si="111"/>
        <v>0.28000000000000003</v>
      </c>
      <c r="Z247" s="2" t="str">
        <f t="shared" ca="1" si="112"/>
        <v>Concluída</v>
      </c>
      <c r="AA247" s="8">
        <f t="shared" ca="1" si="113"/>
        <v>30</v>
      </c>
      <c r="AB247" s="2">
        <f t="shared" ca="1" si="114"/>
        <v>15</v>
      </c>
      <c r="AC247" s="2">
        <f t="shared" ca="1" si="115"/>
        <v>7</v>
      </c>
    </row>
    <row r="248" spans="1:29" x14ac:dyDescent="0.25">
      <c r="A248" s="14" t="str">
        <f t="shared" si="87"/>
        <v>VND-00248</v>
      </c>
      <c r="B248" s="5">
        <f t="shared" ca="1" si="88"/>
        <v>45207</v>
      </c>
      <c r="C248" s="2">
        <f t="shared" ca="1" si="89"/>
        <v>2023</v>
      </c>
      <c r="D248" s="2" t="str">
        <f t="shared" ca="1" si="90"/>
        <v>outubro</v>
      </c>
      <c r="E248" s="2" t="str">
        <f t="shared" ca="1" si="91"/>
        <v>2023/10</v>
      </c>
      <c r="F248" s="14" t="str">
        <f t="shared" ca="1" si="92"/>
        <v>CLI-8619</v>
      </c>
      <c r="G248" s="2" t="str">
        <f t="shared" ca="1" si="93"/>
        <v>Juliana</v>
      </c>
      <c r="H248" s="2" t="str">
        <f t="shared" ca="1" si="94"/>
        <v>Novo</v>
      </c>
      <c r="I248" s="2" t="str">
        <f t="shared" ca="1" si="95"/>
        <v>Carlos</v>
      </c>
      <c r="J248" s="14" t="str">
        <f t="shared" ca="1" si="96"/>
        <v>VCL-7208</v>
      </c>
      <c r="K248" s="2" t="str">
        <f t="shared" ca="1" si="97"/>
        <v>Onix</v>
      </c>
      <c r="L248" s="2" t="str">
        <f t="shared" ca="1" si="98"/>
        <v>Chevrolet</v>
      </c>
      <c r="M248" s="2" t="str">
        <f t="shared" ca="1" si="99"/>
        <v>Popular</v>
      </c>
      <c r="N248" s="2">
        <f t="shared" ca="1" si="100"/>
        <v>2020</v>
      </c>
      <c r="O248" s="2" t="str">
        <f t="shared" ca="1" si="101"/>
        <v>Loja</v>
      </c>
      <c r="P248" s="2" t="str">
        <f t="shared" ca="1" si="102"/>
        <v>Norte</v>
      </c>
      <c r="Q248" s="2" t="str">
        <f t="shared" ca="1" si="103"/>
        <v>PA</v>
      </c>
      <c r="R248" s="2" t="str">
        <f t="shared" ca="1" si="104"/>
        <v>Marabá</v>
      </c>
      <c r="S248" s="8">
        <f t="shared" ca="1" si="105"/>
        <v>6</v>
      </c>
      <c r="T248" s="10">
        <f t="shared" ca="1" si="106"/>
        <v>161528</v>
      </c>
      <c r="U248" s="10">
        <f t="shared" ca="1" si="107"/>
        <v>125991.84000000001</v>
      </c>
      <c r="V248" s="10">
        <f t="shared" ca="1" si="108"/>
        <v>969168</v>
      </c>
      <c r="W248" s="10">
        <f t="shared" ca="1" si="109"/>
        <v>755951.04</v>
      </c>
      <c r="X248" s="10">
        <f t="shared" ca="1" si="110"/>
        <v>213216.95999999996</v>
      </c>
      <c r="Y248" s="12">
        <f t="shared" ca="1" si="111"/>
        <v>0.21999999999999997</v>
      </c>
      <c r="Z248" s="2" t="str">
        <f t="shared" ca="1" si="112"/>
        <v>Cancelada</v>
      </c>
      <c r="AA248" s="8">
        <f t="shared" ca="1" si="113"/>
        <v>21</v>
      </c>
      <c r="AB248" s="2">
        <f t="shared" ca="1" si="114"/>
        <v>16</v>
      </c>
      <c r="AC248" s="2">
        <f t="shared" ca="1" si="115"/>
        <v>10</v>
      </c>
    </row>
    <row r="249" spans="1:29" x14ac:dyDescent="0.25">
      <c r="A249" s="14" t="str">
        <f t="shared" si="87"/>
        <v>VND-00249</v>
      </c>
      <c r="B249" s="5">
        <f t="shared" ca="1" si="88"/>
        <v>45391</v>
      </c>
      <c r="C249" s="2">
        <f t="shared" ca="1" si="89"/>
        <v>2024</v>
      </c>
      <c r="D249" s="2" t="str">
        <f t="shared" ca="1" si="90"/>
        <v>abril</v>
      </c>
      <c r="E249" s="2" t="str">
        <f t="shared" ca="1" si="91"/>
        <v>2024/04</v>
      </c>
      <c r="F249" s="14" t="str">
        <f t="shared" ca="1" si="92"/>
        <v>CLI-4523</v>
      </c>
      <c r="G249" s="2" t="str">
        <f t="shared" ca="1" si="93"/>
        <v>Ana</v>
      </c>
      <c r="H249" s="2" t="str">
        <f t="shared" ca="1" si="94"/>
        <v>Novo</v>
      </c>
      <c r="I249" s="2" t="str">
        <f t="shared" ca="1" si="95"/>
        <v>Maria</v>
      </c>
      <c r="J249" s="14" t="str">
        <f t="shared" ca="1" si="96"/>
        <v>VCL-1612</v>
      </c>
      <c r="K249" s="2" t="str">
        <f t="shared" ca="1" si="97"/>
        <v>Compass</v>
      </c>
      <c r="L249" s="2" t="str">
        <f t="shared" ca="1" si="98"/>
        <v>Jeep</v>
      </c>
      <c r="M249" s="2" t="str">
        <f t="shared" ca="1" si="99"/>
        <v>SUV</v>
      </c>
      <c r="N249" s="2">
        <f t="shared" ca="1" si="100"/>
        <v>2016</v>
      </c>
      <c r="O249" s="2" t="str">
        <f t="shared" ca="1" si="101"/>
        <v>Loja</v>
      </c>
      <c r="P249" s="2" t="str">
        <f t="shared" ca="1" si="102"/>
        <v>Sudeste</v>
      </c>
      <c r="Q249" s="2" t="str">
        <f t="shared" ca="1" si="103"/>
        <v>MG</v>
      </c>
      <c r="R249" s="2" t="str">
        <f t="shared" ca="1" si="104"/>
        <v>Contagem</v>
      </c>
      <c r="S249" s="8">
        <f t="shared" ca="1" si="105"/>
        <v>6</v>
      </c>
      <c r="T249" s="10">
        <f t="shared" ca="1" si="106"/>
        <v>214943</v>
      </c>
      <c r="U249" s="10">
        <f t="shared" ca="1" si="107"/>
        <v>180552.12</v>
      </c>
      <c r="V249" s="10">
        <f t="shared" ca="1" si="108"/>
        <v>1289658</v>
      </c>
      <c r="W249" s="10">
        <f t="shared" ca="1" si="109"/>
        <v>1083312.72</v>
      </c>
      <c r="X249" s="10">
        <f t="shared" ca="1" si="110"/>
        <v>206345.28000000003</v>
      </c>
      <c r="Y249" s="12">
        <f t="shared" ca="1" si="111"/>
        <v>0.16000000000000003</v>
      </c>
      <c r="Z249" s="2" t="str">
        <f t="shared" ca="1" si="112"/>
        <v>Concluída</v>
      </c>
      <c r="AA249" s="8">
        <f t="shared" ca="1" si="113"/>
        <v>22</v>
      </c>
      <c r="AB249" s="2">
        <f t="shared" ca="1" si="114"/>
        <v>9</v>
      </c>
      <c r="AC249" s="2">
        <f t="shared" ca="1" si="115"/>
        <v>7</v>
      </c>
    </row>
    <row r="250" spans="1:29" x14ac:dyDescent="0.25">
      <c r="A250" s="14" t="str">
        <f t="shared" si="87"/>
        <v>VND-00250</v>
      </c>
      <c r="B250" s="5">
        <f t="shared" ca="1" si="88"/>
        <v>45525</v>
      </c>
      <c r="C250" s="2">
        <f t="shared" ca="1" si="89"/>
        <v>2024</v>
      </c>
      <c r="D250" s="2" t="str">
        <f t="shared" ca="1" si="90"/>
        <v>agosto</v>
      </c>
      <c r="E250" s="2" t="str">
        <f t="shared" ca="1" si="91"/>
        <v>2024/08</v>
      </c>
      <c r="F250" s="14" t="str">
        <f t="shared" ca="1" si="92"/>
        <v>CLI-1928</v>
      </c>
      <c r="G250" s="2" t="str">
        <f t="shared" ca="1" si="93"/>
        <v>Lucas</v>
      </c>
      <c r="H250" s="2" t="str">
        <f t="shared" ca="1" si="94"/>
        <v>Novo</v>
      </c>
      <c r="I250" s="2" t="str">
        <f t="shared" ca="1" si="95"/>
        <v>Rafael</v>
      </c>
      <c r="J250" s="14" t="str">
        <f t="shared" ca="1" si="96"/>
        <v>VCL-4640</v>
      </c>
      <c r="K250" s="2" t="str">
        <f t="shared" ca="1" si="97"/>
        <v>Corolla</v>
      </c>
      <c r="L250" s="2" t="str">
        <f t="shared" ca="1" si="98"/>
        <v>Toyota</v>
      </c>
      <c r="M250" s="2" t="str">
        <f t="shared" ca="1" si="99"/>
        <v>SUV</v>
      </c>
      <c r="N250" s="2">
        <f t="shared" ca="1" si="100"/>
        <v>2018</v>
      </c>
      <c r="O250" s="2" t="str">
        <f t="shared" ca="1" si="101"/>
        <v>Loja</v>
      </c>
      <c r="P250" s="2" t="str">
        <f t="shared" ca="1" si="102"/>
        <v>Sul</v>
      </c>
      <c r="Q250" s="2" t="str">
        <f t="shared" ca="1" si="103"/>
        <v>PR</v>
      </c>
      <c r="R250" s="2" t="str">
        <f t="shared" ca="1" si="104"/>
        <v>Cascavel</v>
      </c>
      <c r="S250" s="8">
        <f t="shared" ca="1" si="105"/>
        <v>7</v>
      </c>
      <c r="T250" s="10">
        <f t="shared" ca="1" si="106"/>
        <v>241635</v>
      </c>
      <c r="U250" s="10">
        <f t="shared" ca="1" si="107"/>
        <v>200557.05</v>
      </c>
      <c r="V250" s="10">
        <f t="shared" ca="1" si="108"/>
        <v>1691445</v>
      </c>
      <c r="W250" s="10">
        <f t="shared" ca="1" si="109"/>
        <v>1403899.3499999999</v>
      </c>
      <c r="X250" s="10">
        <f t="shared" ca="1" si="110"/>
        <v>287545.65000000014</v>
      </c>
      <c r="Y250" s="12">
        <f t="shared" ca="1" si="111"/>
        <v>0.1700000000000001</v>
      </c>
      <c r="Z250" s="2" t="str">
        <f t="shared" ca="1" si="112"/>
        <v>Cancelada</v>
      </c>
      <c r="AA250" s="8">
        <f t="shared" ca="1" si="113"/>
        <v>16</v>
      </c>
      <c r="AB250" s="2">
        <f t="shared" ca="1" si="114"/>
        <v>11</v>
      </c>
      <c r="AC250" s="2">
        <f t="shared" ca="1" si="115"/>
        <v>7</v>
      </c>
    </row>
    <row r="251" spans="1:29" x14ac:dyDescent="0.25">
      <c r="A251" s="14" t="str">
        <f t="shared" si="87"/>
        <v>VND-00251</v>
      </c>
      <c r="B251" s="5">
        <f t="shared" ca="1" si="88"/>
        <v>45664</v>
      </c>
      <c r="C251" s="2">
        <f t="shared" ca="1" si="89"/>
        <v>2025</v>
      </c>
      <c r="D251" s="2" t="str">
        <f t="shared" ca="1" si="90"/>
        <v>janeiro</v>
      </c>
      <c r="E251" s="2" t="str">
        <f t="shared" ca="1" si="91"/>
        <v>2025/01</v>
      </c>
      <c r="F251" s="14" t="str">
        <f t="shared" ca="1" si="92"/>
        <v>CLI-9299</v>
      </c>
      <c r="G251" s="2" t="str">
        <f t="shared" ca="1" si="93"/>
        <v>Lucas</v>
      </c>
      <c r="H251" s="2" t="str">
        <f t="shared" ca="1" si="94"/>
        <v>Recorrente</v>
      </c>
      <c r="I251" s="2" t="str">
        <f t="shared" ca="1" si="95"/>
        <v>Tatiane</v>
      </c>
      <c r="J251" s="14" t="str">
        <f t="shared" ca="1" si="96"/>
        <v>VCL-4796</v>
      </c>
      <c r="K251" s="2" t="str">
        <f t="shared" ca="1" si="97"/>
        <v>Compass</v>
      </c>
      <c r="L251" s="2" t="str">
        <f t="shared" ca="1" si="98"/>
        <v>Jeep</v>
      </c>
      <c r="M251" s="2" t="str">
        <f t="shared" ca="1" si="99"/>
        <v>SUV</v>
      </c>
      <c r="N251" s="2">
        <f t="shared" ca="1" si="100"/>
        <v>2017</v>
      </c>
      <c r="O251" s="2" t="str">
        <f t="shared" ca="1" si="101"/>
        <v>Loja</v>
      </c>
      <c r="P251" s="2" t="str">
        <f t="shared" ca="1" si="102"/>
        <v>Norte</v>
      </c>
      <c r="Q251" s="2" t="str">
        <f t="shared" ca="1" si="103"/>
        <v>PA</v>
      </c>
      <c r="R251" s="2" t="str">
        <f t="shared" ca="1" si="104"/>
        <v>Santarém</v>
      </c>
      <c r="S251" s="8">
        <f t="shared" ca="1" si="105"/>
        <v>7</v>
      </c>
      <c r="T251" s="10">
        <f t="shared" ca="1" si="106"/>
        <v>135624</v>
      </c>
      <c r="U251" s="10">
        <f t="shared" ca="1" si="107"/>
        <v>103074.24000000001</v>
      </c>
      <c r="V251" s="10">
        <f t="shared" ca="1" si="108"/>
        <v>949368</v>
      </c>
      <c r="W251" s="10">
        <f t="shared" ca="1" si="109"/>
        <v>721519.68</v>
      </c>
      <c r="X251" s="10">
        <f t="shared" ca="1" si="110"/>
        <v>227848.31999999995</v>
      </c>
      <c r="Y251" s="12">
        <f t="shared" ca="1" si="111"/>
        <v>0.23999999999999994</v>
      </c>
      <c r="Z251" s="2" t="str">
        <f t="shared" ca="1" si="112"/>
        <v>Concluída</v>
      </c>
      <c r="AA251" s="8">
        <f t="shared" ca="1" si="113"/>
        <v>20</v>
      </c>
      <c r="AB251" s="2">
        <f t="shared" ca="1" si="114"/>
        <v>16</v>
      </c>
      <c r="AC251" s="2">
        <f t="shared" ca="1" si="115"/>
        <v>7</v>
      </c>
    </row>
    <row r="252" spans="1:29" x14ac:dyDescent="0.25">
      <c r="A252" s="14" t="str">
        <f t="shared" si="87"/>
        <v>VND-00252</v>
      </c>
      <c r="B252" s="5">
        <f t="shared" ca="1" si="88"/>
        <v>45506</v>
      </c>
      <c r="C252" s="2">
        <f t="shared" ca="1" si="89"/>
        <v>2024</v>
      </c>
      <c r="D252" s="2" t="str">
        <f t="shared" ca="1" si="90"/>
        <v>agosto</v>
      </c>
      <c r="E252" s="2" t="str">
        <f t="shared" ca="1" si="91"/>
        <v>2024/08</v>
      </c>
      <c r="F252" s="14" t="str">
        <f t="shared" ca="1" si="92"/>
        <v>CLI-7729</v>
      </c>
      <c r="G252" s="2" t="str">
        <f t="shared" ca="1" si="93"/>
        <v>Maria</v>
      </c>
      <c r="H252" s="2" t="str">
        <f t="shared" ca="1" si="94"/>
        <v>Recorrente</v>
      </c>
      <c r="I252" s="2" t="str">
        <f t="shared" ca="1" si="95"/>
        <v>Ricardo</v>
      </c>
      <c r="J252" s="14" t="str">
        <f t="shared" ca="1" si="96"/>
        <v>VCL-2372</v>
      </c>
      <c r="K252" s="2" t="str">
        <f t="shared" ca="1" si="97"/>
        <v>Onix</v>
      </c>
      <c r="L252" s="2" t="str">
        <f t="shared" ca="1" si="98"/>
        <v>Chevrolet</v>
      </c>
      <c r="M252" s="2" t="str">
        <f t="shared" ca="1" si="99"/>
        <v>Popular</v>
      </c>
      <c r="N252" s="2">
        <f t="shared" ca="1" si="100"/>
        <v>2022</v>
      </c>
      <c r="O252" s="2" t="str">
        <f t="shared" ca="1" si="101"/>
        <v>Loja</v>
      </c>
      <c r="P252" s="2" t="str">
        <f t="shared" ca="1" si="102"/>
        <v>Norte</v>
      </c>
      <c r="Q252" s="2" t="str">
        <f t="shared" ca="1" si="103"/>
        <v>PA</v>
      </c>
      <c r="R252" s="2" t="str">
        <f t="shared" ca="1" si="104"/>
        <v>Marabá</v>
      </c>
      <c r="S252" s="8">
        <f t="shared" ca="1" si="105"/>
        <v>2</v>
      </c>
      <c r="T252" s="10">
        <f t="shared" ca="1" si="106"/>
        <v>245370</v>
      </c>
      <c r="U252" s="10">
        <f t="shared" ca="1" si="107"/>
        <v>201203.4</v>
      </c>
      <c r="V252" s="10">
        <f t="shared" ca="1" si="108"/>
        <v>490740</v>
      </c>
      <c r="W252" s="10">
        <f t="shared" ca="1" si="109"/>
        <v>402406.8</v>
      </c>
      <c r="X252" s="10">
        <f t="shared" ca="1" si="110"/>
        <v>88333.200000000012</v>
      </c>
      <c r="Y252" s="12">
        <f t="shared" ca="1" si="111"/>
        <v>0.18000000000000002</v>
      </c>
      <c r="Z252" s="2" t="str">
        <f t="shared" ca="1" si="112"/>
        <v>Em negociação</v>
      </c>
      <c r="AA252" s="8">
        <f t="shared" ca="1" si="113"/>
        <v>14</v>
      </c>
      <c r="AB252" s="2">
        <f t="shared" ca="1" si="114"/>
        <v>18</v>
      </c>
      <c r="AC252" s="2">
        <f t="shared" ca="1" si="115"/>
        <v>10</v>
      </c>
    </row>
    <row r="253" spans="1:29" x14ac:dyDescent="0.25">
      <c r="A253" s="14" t="str">
        <f t="shared" si="87"/>
        <v>VND-00253</v>
      </c>
      <c r="B253" s="5">
        <f t="shared" ca="1" si="88"/>
        <v>45308</v>
      </c>
      <c r="C253" s="2">
        <f t="shared" ca="1" si="89"/>
        <v>2024</v>
      </c>
      <c r="D253" s="2" t="str">
        <f t="shared" ca="1" si="90"/>
        <v>janeiro</v>
      </c>
      <c r="E253" s="2" t="str">
        <f t="shared" ca="1" si="91"/>
        <v>2024/01</v>
      </c>
      <c r="F253" s="14" t="str">
        <f t="shared" ca="1" si="92"/>
        <v>CLI-1449</v>
      </c>
      <c r="G253" s="2" t="str">
        <f t="shared" ca="1" si="93"/>
        <v>Carlos</v>
      </c>
      <c r="H253" s="2" t="str">
        <f t="shared" ca="1" si="94"/>
        <v>Novo</v>
      </c>
      <c r="I253" s="2" t="str">
        <f t="shared" ca="1" si="95"/>
        <v>Rafael</v>
      </c>
      <c r="J253" s="14" t="str">
        <f t="shared" ca="1" si="96"/>
        <v>VCL-4091</v>
      </c>
      <c r="K253" s="2" t="str">
        <f t="shared" ca="1" si="97"/>
        <v>BMW X1</v>
      </c>
      <c r="L253" s="2" t="str">
        <f t="shared" ca="1" si="98"/>
        <v>BMW</v>
      </c>
      <c r="M253" s="2" t="str">
        <f t="shared" ca="1" si="99"/>
        <v>Luxo</v>
      </c>
      <c r="N253" s="2">
        <f t="shared" ca="1" si="100"/>
        <v>2019</v>
      </c>
      <c r="O253" s="2" t="str">
        <f t="shared" ca="1" si="101"/>
        <v>Online</v>
      </c>
      <c r="P253" s="2" t="str">
        <f t="shared" ca="1" si="102"/>
        <v>Sul</v>
      </c>
      <c r="Q253" s="2" t="str">
        <f t="shared" ca="1" si="103"/>
        <v>SC</v>
      </c>
      <c r="R253" s="2" t="str">
        <f t="shared" ca="1" si="104"/>
        <v>Florianópolis</v>
      </c>
      <c r="S253" s="8">
        <f t="shared" ca="1" si="105"/>
        <v>2</v>
      </c>
      <c r="T253" s="10">
        <f t="shared" ca="1" si="106"/>
        <v>63387</v>
      </c>
      <c r="U253" s="10">
        <f t="shared" ca="1" si="107"/>
        <v>48174.12</v>
      </c>
      <c r="V253" s="10">
        <f t="shared" ca="1" si="108"/>
        <v>126774</v>
      </c>
      <c r="W253" s="10">
        <f t="shared" ca="1" si="109"/>
        <v>96348.24</v>
      </c>
      <c r="X253" s="10">
        <f t="shared" ca="1" si="110"/>
        <v>30425.759999999995</v>
      </c>
      <c r="Y253" s="12">
        <f t="shared" ca="1" si="111"/>
        <v>0.23999999999999996</v>
      </c>
      <c r="Z253" s="2" t="str">
        <f t="shared" ca="1" si="112"/>
        <v>Cancelada</v>
      </c>
      <c r="AA253" s="8">
        <f t="shared" ca="1" si="113"/>
        <v>13</v>
      </c>
      <c r="AB253" s="2">
        <f t="shared" ca="1" si="114"/>
        <v>3</v>
      </c>
      <c r="AC253" s="2">
        <f t="shared" ca="1" si="115"/>
        <v>3</v>
      </c>
    </row>
    <row r="254" spans="1:29" x14ac:dyDescent="0.25">
      <c r="A254" s="14" t="str">
        <f t="shared" si="87"/>
        <v>VND-00254</v>
      </c>
      <c r="B254" s="5">
        <f t="shared" ca="1" si="88"/>
        <v>45200</v>
      </c>
      <c r="C254" s="2">
        <f t="shared" ca="1" si="89"/>
        <v>2023</v>
      </c>
      <c r="D254" s="2" t="str">
        <f t="shared" ca="1" si="90"/>
        <v>outubro</v>
      </c>
      <c r="E254" s="2" t="str">
        <f t="shared" ca="1" si="91"/>
        <v>2023/10</v>
      </c>
      <c r="F254" s="14" t="str">
        <f t="shared" ca="1" si="92"/>
        <v>CLI-2570</v>
      </c>
      <c r="G254" s="2" t="str">
        <f t="shared" ca="1" si="93"/>
        <v>Carlos</v>
      </c>
      <c r="H254" s="2" t="str">
        <f t="shared" ca="1" si="94"/>
        <v>Recorrente</v>
      </c>
      <c r="I254" s="2" t="str">
        <f t="shared" ca="1" si="95"/>
        <v>Patricia</v>
      </c>
      <c r="J254" s="14" t="str">
        <f t="shared" ca="1" si="96"/>
        <v>VCL-6983</v>
      </c>
      <c r="K254" s="2" t="str">
        <f t="shared" ca="1" si="97"/>
        <v>Corolla</v>
      </c>
      <c r="L254" s="2" t="str">
        <f t="shared" ca="1" si="98"/>
        <v>Toyota</v>
      </c>
      <c r="M254" s="2" t="str">
        <f t="shared" ca="1" si="99"/>
        <v>SUV</v>
      </c>
      <c r="N254" s="2">
        <f t="shared" ca="1" si="100"/>
        <v>2020</v>
      </c>
      <c r="O254" s="2" t="str">
        <f t="shared" ca="1" si="101"/>
        <v>Loja</v>
      </c>
      <c r="P254" s="2" t="str">
        <f t="shared" ca="1" si="102"/>
        <v>Nordeste</v>
      </c>
      <c r="Q254" s="2" t="str">
        <f t="shared" ca="1" si="103"/>
        <v>PE</v>
      </c>
      <c r="R254" s="2" t="str">
        <f t="shared" ca="1" si="104"/>
        <v>Recife</v>
      </c>
      <c r="S254" s="8">
        <f t="shared" ca="1" si="105"/>
        <v>6</v>
      </c>
      <c r="T254" s="10">
        <f t="shared" ca="1" si="106"/>
        <v>99158</v>
      </c>
      <c r="U254" s="10">
        <f t="shared" ca="1" si="107"/>
        <v>70402.179999999993</v>
      </c>
      <c r="V254" s="10">
        <f t="shared" ca="1" si="108"/>
        <v>594948</v>
      </c>
      <c r="W254" s="10">
        <f t="shared" ca="1" si="109"/>
        <v>422413.07999999996</v>
      </c>
      <c r="X254" s="10">
        <f t="shared" ca="1" si="110"/>
        <v>172534.92000000004</v>
      </c>
      <c r="Y254" s="12">
        <f t="shared" ca="1" si="111"/>
        <v>0.29000000000000009</v>
      </c>
      <c r="Z254" s="2" t="str">
        <f t="shared" ca="1" si="112"/>
        <v>Cancelada</v>
      </c>
      <c r="AA254" s="8">
        <f t="shared" ca="1" si="113"/>
        <v>5</v>
      </c>
      <c r="AB254" s="2">
        <f t="shared" ca="1" si="114"/>
        <v>17</v>
      </c>
      <c r="AC254" s="2">
        <f t="shared" ca="1" si="115"/>
        <v>7</v>
      </c>
    </row>
    <row r="255" spans="1:29" x14ac:dyDescent="0.25">
      <c r="A255" s="14" t="str">
        <f t="shared" si="87"/>
        <v>VND-00255</v>
      </c>
      <c r="B255" s="5">
        <f t="shared" ca="1" si="88"/>
        <v>45779</v>
      </c>
      <c r="C255" s="2">
        <f t="shared" ca="1" si="89"/>
        <v>2025</v>
      </c>
      <c r="D255" s="2" t="str">
        <f t="shared" ca="1" si="90"/>
        <v>maio</v>
      </c>
      <c r="E255" s="2" t="str">
        <f t="shared" ca="1" si="91"/>
        <v>2025/05</v>
      </c>
      <c r="F255" s="14" t="str">
        <f t="shared" ca="1" si="92"/>
        <v>CLI-7041</v>
      </c>
      <c r="G255" s="2" t="str">
        <f t="shared" ca="1" si="93"/>
        <v>Rafael</v>
      </c>
      <c r="H255" s="2" t="str">
        <f t="shared" ca="1" si="94"/>
        <v>Novo</v>
      </c>
      <c r="I255" s="2" t="str">
        <f t="shared" ca="1" si="95"/>
        <v>Carla</v>
      </c>
      <c r="J255" s="14" t="str">
        <f t="shared" ca="1" si="96"/>
        <v>VCL-4145</v>
      </c>
      <c r="K255" s="2" t="str">
        <f t="shared" ca="1" si="97"/>
        <v>Onix</v>
      </c>
      <c r="L255" s="2" t="str">
        <f t="shared" ca="1" si="98"/>
        <v>Chevrolet</v>
      </c>
      <c r="M255" s="2" t="str">
        <f t="shared" ca="1" si="99"/>
        <v>Popular</v>
      </c>
      <c r="N255" s="2">
        <f t="shared" ca="1" si="100"/>
        <v>2022</v>
      </c>
      <c r="O255" s="2" t="str">
        <f t="shared" ca="1" si="101"/>
        <v>Loja</v>
      </c>
      <c r="P255" s="2" t="str">
        <f t="shared" ca="1" si="102"/>
        <v>Sul</v>
      </c>
      <c r="Q255" s="2" t="str">
        <f t="shared" ca="1" si="103"/>
        <v>SC</v>
      </c>
      <c r="R255" s="2" t="str">
        <f t="shared" ca="1" si="104"/>
        <v>Joinville</v>
      </c>
      <c r="S255" s="8">
        <f t="shared" ca="1" si="105"/>
        <v>3</v>
      </c>
      <c r="T255" s="10">
        <f t="shared" ca="1" si="106"/>
        <v>156345</v>
      </c>
      <c r="U255" s="10">
        <f t="shared" ca="1" si="107"/>
        <v>120385.65000000001</v>
      </c>
      <c r="V255" s="10">
        <f t="shared" ca="1" si="108"/>
        <v>469035</v>
      </c>
      <c r="W255" s="10">
        <f t="shared" ca="1" si="109"/>
        <v>361156.95</v>
      </c>
      <c r="X255" s="10">
        <f t="shared" ca="1" si="110"/>
        <v>107878.04999999999</v>
      </c>
      <c r="Y255" s="12">
        <f t="shared" ca="1" si="111"/>
        <v>0.22999999999999998</v>
      </c>
      <c r="Z255" s="2" t="str">
        <f t="shared" ca="1" si="112"/>
        <v>Em negociação</v>
      </c>
      <c r="AA255" s="8">
        <f t="shared" ca="1" si="113"/>
        <v>28</v>
      </c>
      <c r="AB255" s="2">
        <f t="shared" ca="1" si="114"/>
        <v>28</v>
      </c>
      <c r="AC255" s="2">
        <f t="shared" ca="1" si="115"/>
        <v>10</v>
      </c>
    </row>
    <row r="256" spans="1:29" x14ac:dyDescent="0.25">
      <c r="A256" s="14" t="str">
        <f t="shared" si="87"/>
        <v>VND-00256</v>
      </c>
      <c r="B256" s="5">
        <f t="shared" ca="1" si="88"/>
        <v>45062</v>
      </c>
      <c r="C256" s="2">
        <f t="shared" ca="1" si="89"/>
        <v>2023</v>
      </c>
      <c r="D256" s="2" t="str">
        <f t="shared" ca="1" si="90"/>
        <v>maio</v>
      </c>
      <c r="E256" s="2" t="str">
        <f t="shared" ca="1" si="91"/>
        <v>2023/05</v>
      </c>
      <c r="F256" s="14" t="str">
        <f t="shared" ca="1" si="92"/>
        <v>CLI-7954</v>
      </c>
      <c r="G256" s="2" t="str">
        <f t="shared" ca="1" si="93"/>
        <v>Maria</v>
      </c>
      <c r="H256" s="2" t="str">
        <f t="shared" ca="1" si="94"/>
        <v>Recorrente</v>
      </c>
      <c r="I256" s="2" t="str">
        <f t="shared" ca="1" si="95"/>
        <v>Eduardo</v>
      </c>
      <c r="J256" s="14" t="str">
        <f t="shared" ca="1" si="96"/>
        <v>VCL-4317</v>
      </c>
      <c r="K256" s="2" t="str">
        <f t="shared" ca="1" si="97"/>
        <v>BMW X1</v>
      </c>
      <c r="L256" s="2" t="str">
        <f t="shared" ca="1" si="98"/>
        <v>BMW</v>
      </c>
      <c r="M256" s="2" t="str">
        <f t="shared" ca="1" si="99"/>
        <v>Luxo</v>
      </c>
      <c r="N256" s="2">
        <f t="shared" ca="1" si="100"/>
        <v>2024</v>
      </c>
      <c r="O256" s="2" t="str">
        <f t="shared" ca="1" si="101"/>
        <v>Online</v>
      </c>
      <c r="P256" s="2" t="str">
        <f t="shared" ca="1" si="102"/>
        <v>Centro-Oeste</v>
      </c>
      <c r="Q256" s="2" t="str">
        <f t="shared" ca="1" si="103"/>
        <v>DF</v>
      </c>
      <c r="R256" s="2" t="str">
        <f t="shared" ca="1" si="104"/>
        <v>Ceilândia</v>
      </c>
      <c r="S256" s="8">
        <f t="shared" ca="1" si="105"/>
        <v>7</v>
      </c>
      <c r="T256" s="10">
        <f t="shared" ca="1" si="106"/>
        <v>236347</v>
      </c>
      <c r="U256" s="10">
        <f t="shared" ca="1" si="107"/>
        <v>198531.47999999998</v>
      </c>
      <c r="V256" s="10">
        <f t="shared" ca="1" si="108"/>
        <v>1654429</v>
      </c>
      <c r="W256" s="10">
        <f t="shared" ca="1" si="109"/>
        <v>1389720.3599999999</v>
      </c>
      <c r="X256" s="10">
        <f t="shared" ca="1" si="110"/>
        <v>264708.64000000013</v>
      </c>
      <c r="Y256" s="12">
        <f t="shared" ca="1" si="111"/>
        <v>0.16000000000000009</v>
      </c>
      <c r="Z256" s="2" t="str">
        <f t="shared" ca="1" si="112"/>
        <v>Em negociação</v>
      </c>
      <c r="AA256" s="8">
        <f t="shared" ca="1" si="113"/>
        <v>9</v>
      </c>
      <c r="AB256" s="2">
        <f t="shared" ca="1" si="114"/>
        <v>3</v>
      </c>
      <c r="AC256" s="2">
        <f t="shared" ca="1" si="115"/>
        <v>3</v>
      </c>
    </row>
    <row r="257" spans="1:29" x14ac:dyDescent="0.25">
      <c r="A257" s="14" t="str">
        <f t="shared" si="87"/>
        <v>VND-00257</v>
      </c>
      <c r="B257" s="5">
        <f t="shared" ca="1" si="88"/>
        <v>45348</v>
      </c>
      <c r="C257" s="2">
        <f t="shared" ca="1" si="89"/>
        <v>2024</v>
      </c>
      <c r="D257" s="2" t="str">
        <f t="shared" ca="1" si="90"/>
        <v>fevereiro</v>
      </c>
      <c r="E257" s="2" t="str">
        <f t="shared" ca="1" si="91"/>
        <v>2024/02</v>
      </c>
      <c r="F257" s="14" t="str">
        <f t="shared" ca="1" si="92"/>
        <v>CLI-9168</v>
      </c>
      <c r="G257" s="2" t="str">
        <f t="shared" ca="1" si="93"/>
        <v>Juliana</v>
      </c>
      <c r="H257" s="2" t="str">
        <f t="shared" ca="1" si="94"/>
        <v>Novo</v>
      </c>
      <c r="I257" s="2" t="str">
        <f t="shared" ca="1" si="95"/>
        <v>Bruno</v>
      </c>
      <c r="J257" s="14" t="str">
        <f t="shared" ca="1" si="96"/>
        <v>VCL-1281</v>
      </c>
      <c r="K257" s="2" t="str">
        <f t="shared" ca="1" si="97"/>
        <v>Corolla</v>
      </c>
      <c r="L257" s="2" t="str">
        <f t="shared" ca="1" si="98"/>
        <v>Toyota</v>
      </c>
      <c r="M257" s="2" t="str">
        <f t="shared" ca="1" si="99"/>
        <v>SUV</v>
      </c>
      <c r="N257" s="2">
        <f t="shared" ca="1" si="100"/>
        <v>2023</v>
      </c>
      <c r="O257" s="2" t="str">
        <f t="shared" ca="1" si="101"/>
        <v>Loja</v>
      </c>
      <c r="P257" s="2" t="str">
        <f t="shared" ca="1" si="102"/>
        <v>Sul</v>
      </c>
      <c r="Q257" s="2" t="str">
        <f t="shared" ca="1" si="103"/>
        <v>RS</v>
      </c>
      <c r="R257" s="2" t="str">
        <f t="shared" ca="1" si="104"/>
        <v>Pelotas</v>
      </c>
      <c r="S257" s="8">
        <f t="shared" ca="1" si="105"/>
        <v>5</v>
      </c>
      <c r="T257" s="10">
        <f t="shared" ca="1" si="106"/>
        <v>149502</v>
      </c>
      <c r="U257" s="10">
        <f t="shared" ca="1" si="107"/>
        <v>124086.65999999999</v>
      </c>
      <c r="V257" s="10">
        <f t="shared" ca="1" si="108"/>
        <v>747510</v>
      </c>
      <c r="W257" s="10">
        <f t="shared" ca="1" si="109"/>
        <v>620433.29999999993</v>
      </c>
      <c r="X257" s="10">
        <f t="shared" ca="1" si="110"/>
        <v>127076.70000000007</v>
      </c>
      <c r="Y257" s="12">
        <f t="shared" ca="1" si="111"/>
        <v>0.1700000000000001</v>
      </c>
      <c r="Z257" s="2" t="str">
        <f t="shared" ca="1" si="112"/>
        <v>Concluída</v>
      </c>
      <c r="AA257" s="8">
        <f t="shared" ca="1" si="113"/>
        <v>16</v>
      </c>
      <c r="AB257" s="2">
        <f t="shared" ca="1" si="114"/>
        <v>7</v>
      </c>
      <c r="AC257" s="2">
        <f t="shared" ca="1" si="115"/>
        <v>7</v>
      </c>
    </row>
    <row r="258" spans="1:29" x14ac:dyDescent="0.25">
      <c r="A258" s="14" t="str">
        <f t="shared" si="87"/>
        <v>VND-00258</v>
      </c>
      <c r="B258" s="5">
        <f t="shared" ca="1" si="88"/>
        <v>45988</v>
      </c>
      <c r="C258" s="2">
        <f t="shared" ca="1" si="89"/>
        <v>2025</v>
      </c>
      <c r="D258" s="2" t="str">
        <f t="shared" ca="1" si="90"/>
        <v>novembro</v>
      </c>
      <c r="E258" s="2" t="str">
        <f t="shared" ca="1" si="91"/>
        <v>2025/11</v>
      </c>
      <c r="F258" s="14" t="str">
        <f t="shared" ca="1" si="92"/>
        <v>CLI-5465</v>
      </c>
      <c r="G258" s="2" t="str">
        <f t="shared" ca="1" si="93"/>
        <v>Lucas</v>
      </c>
      <c r="H258" s="2" t="str">
        <f t="shared" ca="1" si="94"/>
        <v>Novo</v>
      </c>
      <c r="I258" s="2" t="str">
        <f t="shared" ca="1" si="95"/>
        <v>Felipe</v>
      </c>
      <c r="J258" s="14" t="str">
        <f t="shared" ca="1" si="96"/>
        <v>VCL-4273</v>
      </c>
      <c r="K258" s="2" t="str">
        <f t="shared" ca="1" si="97"/>
        <v>BMW X1</v>
      </c>
      <c r="L258" s="2" t="str">
        <f t="shared" ca="1" si="98"/>
        <v>BMW</v>
      </c>
      <c r="M258" s="2" t="str">
        <f t="shared" ca="1" si="99"/>
        <v>Luxo</v>
      </c>
      <c r="N258" s="2">
        <f t="shared" ca="1" si="100"/>
        <v>2022</v>
      </c>
      <c r="O258" s="2" t="str">
        <f t="shared" ca="1" si="101"/>
        <v>Loja</v>
      </c>
      <c r="P258" s="2" t="str">
        <f t="shared" ca="1" si="102"/>
        <v>Norte</v>
      </c>
      <c r="Q258" s="2" t="str">
        <f t="shared" ca="1" si="103"/>
        <v>AM</v>
      </c>
      <c r="R258" s="2" t="str">
        <f t="shared" ca="1" si="104"/>
        <v>Manacapuru</v>
      </c>
      <c r="S258" s="8">
        <f t="shared" ca="1" si="105"/>
        <v>6</v>
      </c>
      <c r="T258" s="10">
        <f t="shared" ca="1" si="106"/>
        <v>150451</v>
      </c>
      <c r="U258" s="10">
        <f t="shared" ca="1" si="107"/>
        <v>123369.81999999999</v>
      </c>
      <c r="V258" s="10">
        <f t="shared" ca="1" si="108"/>
        <v>902706</v>
      </c>
      <c r="W258" s="10">
        <f t="shared" ca="1" si="109"/>
        <v>740218.91999999993</v>
      </c>
      <c r="X258" s="10">
        <f t="shared" ca="1" si="110"/>
        <v>162487.08000000007</v>
      </c>
      <c r="Y258" s="12">
        <f t="shared" ca="1" si="111"/>
        <v>0.18000000000000008</v>
      </c>
      <c r="Z258" s="2" t="str">
        <f t="shared" ca="1" si="112"/>
        <v>Cancelada</v>
      </c>
      <c r="AA258" s="8">
        <f t="shared" ca="1" si="113"/>
        <v>27</v>
      </c>
      <c r="AB258" s="2">
        <f t="shared" ca="1" si="114"/>
        <v>6</v>
      </c>
      <c r="AC258" s="2">
        <f t="shared" ca="1" si="115"/>
        <v>3</v>
      </c>
    </row>
    <row r="259" spans="1:29" x14ac:dyDescent="0.25">
      <c r="A259" s="14" t="str">
        <f t="shared" ref="A259:A322" si="116">"VND-"&amp;TEXT(ROW(A259),"00000")</f>
        <v>VND-00259</v>
      </c>
      <c r="B259" s="5">
        <f t="shared" ref="B259:B322" ca="1" si="117">DATE(RANDBETWEEN(2023,2025),RANDBETWEEN(1,12),RANDBETWEEN(1,28))</f>
        <v>44949</v>
      </c>
      <c r="C259" s="2">
        <f t="shared" ref="C259:C322" ca="1" si="118">YEAR(B259)</f>
        <v>2023</v>
      </c>
      <c r="D259" s="2" t="str">
        <f t="shared" ref="D259:D322" ca="1" si="119">TEXT(B259,"mmmm")</f>
        <v>janeiro</v>
      </c>
      <c r="E259" s="2" t="str">
        <f t="shared" ref="E259:E322" ca="1" si="120">YEAR(B259)&amp;"/"&amp;TEXT(MONTH(B259),"00")</f>
        <v>2023/01</v>
      </c>
      <c r="F259" s="14" t="str">
        <f t="shared" ref="F259:F322" ca="1" si="121">"CLI-"&amp;RANDBETWEEN(1000,9999)</f>
        <v>CLI-1705</v>
      </c>
      <c r="G259" s="2" t="str">
        <f t="shared" ref="G259:G322" ca="1" si="122">CHOOSE(RANDBETWEEN(1,8),
"João","Maria","Carlos","Ana",
"Lucas","Fernanda","Rafael","Juliana")</f>
        <v>Lucas</v>
      </c>
      <c r="H259" s="2" t="str">
        <f t="shared" ref="H259:H322" ca="1" si="123">IF(RANDBETWEEN(1,10)&gt;6,"Recorrente","Novo")</f>
        <v>Recorrente</v>
      </c>
      <c r="I259" s="2" t="str">
        <f t="shared" ref="I259:I322" ca="1" si="124">IF(P259="Sudeste",CHOOSE(RANDBETWEEN(1,5),"João","Maria","Pedro","Ana","Lucas"),
IF(P259="Sul",CHOOSE(RANDBETWEEN(1,5),"Bruno","Carla","Rafael","Juliana","Marcos"),
IF(P259="Nordeste",CHOOSE(RANDBETWEEN(1,5),"Diego","Fernanda","Roberto","Patricia","André"),
IF(P259="Norte",CHOOSE(RANDBETWEEN(1,5),"Carlos","Amanda","Ricardo","Tatiane","Felipe"),
IF(P259="Centro-Oeste",CHOOSE(RANDBETWEEN(1,5),"Gustavo","Camila","Vinicius","Larissa","Eduardo"),
"")))))</f>
        <v>Ricardo</v>
      </c>
      <c r="J259" s="14" t="str">
        <f t="shared" ref="J259:J322" ca="1" si="125">"VCL-"&amp;RANDBETWEEN(1000,9999)</f>
        <v>VCL-8936</v>
      </c>
      <c r="K259" s="2" t="str">
        <f t="shared" ref="K259:K322" ca="1" si="126">CHOOSE(RANDBETWEEN(1,6),
"Onix","HB20","Corolla","Civic","Compass","BMW X1")</f>
        <v>Onix</v>
      </c>
      <c r="L259" s="2" t="str">
        <f t="shared" ref="L259:L322" ca="1" si="127">IF(OR(K259="Onix",K259="Tracker"),"Chevrolet",
IF(OR(K259="HB20"),"Hyundai",
IF(OR(K259="Corolla"),"Toyota",
IF(OR(K259="Civic"),"Honda",
IF(OR(K259="Compass"),"Jeep",
"BMW")))))</f>
        <v>Chevrolet</v>
      </c>
      <c r="M259" s="2" t="str">
        <f t="shared" ref="M259:M322" ca="1" si="128">IF(OR(K259="Onix",K259="HB20"),"Popular",
IF(OR(K259="Corolla",K259="Civic"),"SUV",
IF(K259="Compass","SUV",
IF(K259="BMW X1","Luxo","Esportivo"))))</f>
        <v>Popular</v>
      </c>
      <c r="N259" s="2">
        <f t="shared" ref="N259:N322" ca="1" si="129">IF(RANDBETWEEN(1,10)&lt;=7,RANDBETWEEN(2020,2024),RANDBETWEEN(2015,2019))</f>
        <v>2021</v>
      </c>
      <c r="O259" s="2" t="str">
        <f t="shared" ref="O259:O322" ca="1" si="130">IF(RANDBETWEEN(1,10)&lt;=7,"Loja","Online")</f>
        <v>Online</v>
      </c>
      <c r="P259" s="2" t="str">
        <f t="shared" ref="P259:P322" ca="1" si="131">CHOOSE(RANDBETWEEN(1,5),"Sudeste","Sul","Nordeste","Norte","Centro-Oeste")</f>
        <v>Norte</v>
      </c>
      <c r="Q259" s="2" t="str">
        <f t="shared" ref="Q259:Q322" ca="1" si="132">IF(P259="Sudeste",CHOOSE(RANDBETWEEN(1,4),"SP","RJ","MG","ES"),
IF(P259="Sul",CHOOSE(RANDBETWEEN(1,3),"PR","SC","RS"),
IF(P259="Nordeste",CHOOSE(RANDBETWEEN(1,3),"BA","PE","CE"),
IF(P259="Centro-Oeste",CHOOSE(RANDBETWEEN(1,3),"GO","MT","DF"),
IF(P259="Norte",CHOOSE(RANDBETWEEN(1,2),"AM","PA"),
"GO")))))</f>
        <v>AM</v>
      </c>
      <c r="R259" s="2" t="str">
        <f t="shared" ref="R259:R322" ca="1" si="133">IF(Q259="SP",CHOOSE(RANDBETWEEN(1,5),"São Paulo","Campinas","Santos","Sorocaba","Ribeirão Preto"),
IF(Q259="RJ",CHOOSE(RANDBETWEEN(1,5),"Rio de Janeiro","Niterói","Duque de Caxias","Nova Iguaçu","Petrópolis"),
IF(Q259="MG",CHOOSE(RANDBETWEEN(1,5),"Belo Horizonte","Uberlândia","Contagem","Juiz de Fora","Betim"),
IF(Q259="ES",CHOOSE(RANDBETWEEN(1,5),"Vitória","Vila Velha","Serra","Cariacica","Linhares"),
IF(Q259="PR",CHOOSE(RANDBETWEEN(1,5),"Curitiba","Londrina","Maringá","Ponta Grossa","Cascavel"),
IF(Q259="SC",CHOOSE(RANDBETWEEN(1,5),"Florianópolis","Joinville","Blumenau","Itajaí","Chapecó"),
IF(Q259="RS",CHOOSE(RANDBETWEEN(1,5),"Porto Alegre","Caxias do Sul","Pelotas","Canoas","Santa Maria"),
IF(Q259="BA",CHOOSE(RANDBETWEEN(1,5),"Salvador","Feira de Santana","Vitória da Conquista","Camaçari","Ilhéus"),
IF(Q259="PE",CHOOSE(RANDBETWEEN(1,5),"Recife","Olinda","Jaboatão","Caruaru","Petrolina"),
IF(Q259="CE",CHOOSE(RANDBETWEEN(1,5),"Fortaleza","Caucaia","Juazeiro do Norte","Sobral","Maracanaú"),
IF(Q259="MT",CHOOSE(RANDBETWEEN(1,5),"Cuiabá","Várzea Grande","Rondonópolis","Sinop","Tangará da Serra"),
IF(Q259="DF",CHOOSE(RANDBETWEEN(1,5),"Brasília","Ceilândia","Taguatinga","Samambaia","Planaltina"),
IF(Q259="AM",CHOOSE(RANDBETWEEN(1,5),"Manaus","Parintins","Itacoatiara","Manacapuru","Coari"),
IF(Q259="PA",CHOOSE(RANDBETWEEN(1,5),"Belém","Ananindeua","Santarém","Marabá","Castanhal"),
IF(Q259="GO",CHOOSE(RANDBETWEEN(1,5),"Goiânia","Aparecida de Goiânia","Anápolis","Rio Verde","Luziânia"),
"")))))))))))))))</f>
        <v>Manacapuru</v>
      </c>
      <c r="S259" s="8">
        <f t="shared" ref="S259:S322" ca="1" si="134">RANDBETWEEN(1,10)</f>
        <v>4</v>
      </c>
      <c r="T259" s="10">
        <f t="shared" ref="T259:T322" ca="1" si="135">RANDBETWEEN(60000,250000)</f>
        <v>93718</v>
      </c>
      <c r="U259" s="10">
        <f t="shared" ref="U259:U322" ca="1" si="136">T259*(RANDBETWEEN(70,85)/100)</f>
        <v>68414.14</v>
      </c>
      <c r="V259" s="10">
        <f t="shared" ref="V259:V322" ca="1" si="137">S259*T259</f>
        <v>374872</v>
      </c>
      <c r="W259" s="10">
        <f t="shared" ref="W259:W322" ca="1" si="138">S259*U259</f>
        <v>273656.56</v>
      </c>
      <c r="X259" s="10">
        <f t="shared" ref="X259:X322" ca="1" si="139">V259-W259</f>
        <v>101215.44</v>
      </c>
      <c r="Y259" s="12">
        <f t="shared" ref="Y259:Y322" ca="1" si="140">X259/V259</f>
        <v>0.27</v>
      </c>
      <c r="Z259" s="2" t="str">
        <f t="shared" ref="Z259:Z322" ca="1" si="141">CHOOSE(RANDBETWEEN(1,3),
"Concluída","Cancelada","Em negociação")</f>
        <v>Cancelada</v>
      </c>
      <c r="AA259" s="8">
        <f t="shared" ref="AA259:AA322" ca="1" si="142">RANDBETWEEN(1,30)</f>
        <v>19</v>
      </c>
      <c r="AB259" s="2">
        <f t="shared" ref="AB259:AB322" ca="1" si="143">IF(M259="Popular",RANDBETWEEN(10,30),
IF(M259="SUV",RANDBETWEEN(5,20),
IF(M259="Luxo",RANDBETWEEN(0,10),
RANDBETWEEN(2,15))))</f>
        <v>27</v>
      </c>
      <c r="AC259" s="2">
        <f t="shared" ref="AC259:AC322" ca="1" si="144">IF(M259="Popular",10,
IF(M259="SUV",7,
IF(M259="Luxo",3,5)))</f>
        <v>10</v>
      </c>
    </row>
    <row r="260" spans="1:29" x14ac:dyDescent="0.25">
      <c r="A260" s="14" t="str">
        <f t="shared" si="116"/>
        <v>VND-00260</v>
      </c>
      <c r="B260" s="5">
        <f t="shared" ca="1" si="117"/>
        <v>45173</v>
      </c>
      <c r="C260" s="2">
        <f t="shared" ca="1" si="118"/>
        <v>2023</v>
      </c>
      <c r="D260" s="2" t="str">
        <f t="shared" ca="1" si="119"/>
        <v>setembro</v>
      </c>
      <c r="E260" s="2" t="str">
        <f t="shared" ca="1" si="120"/>
        <v>2023/09</v>
      </c>
      <c r="F260" s="14" t="str">
        <f t="shared" ca="1" si="121"/>
        <v>CLI-3369</v>
      </c>
      <c r="G260" s="2" t="str">
        <f t="shared" ca="1" si="122"/>
        <v>Fernanda</v>
      </c>
      <c r="H260" s="2" t="str">
        <f t="shared" ca="1" si="123"/>
        <v>Novo</v>
      </c>
      <c r="I260" s="2" t="str">
        <f t="shared" ca="1" si="124"/>
        <v>Tatiane</v>
      </c>
      <c r="J260" s="14" t="str">
        <f t="shared" ca="1" si="125"/>
        <v>VCL-2194</v>
      </c>
      <c r="K260" s="2" t="str">
        <f t="shared" ca="1" si="126"/>
        <v>Corolla</v>
      </c>
      <c r="L260" s="2" t="str">
        <f t="shared" ca="1" si="127"/>
        <v>Toyota</v>
      </c>
      <c r="M260" s="2" t="str">
        <f t="shared" ca="1" si="128"/>
        <v>SUV</v>
      </c>
      <c r="N260" s="2">
        <f t="shared" ca="1" si="129"/>
        <v>2023</v>
      </c>
      <c r="O260" s="2" t="str">
        <f t="shared" ca="1" si="130"/>
        <v>Loja</v>
      </c>
      <c r="P260" s="2" t="str">
        <f t="shared" ca="1" si="131"/>
        <v>Norte</v>
      </c>
      <c r="Q260" s="2" t="str">
        <f t="shared" ca="1" si="132"/>
        <v>AM</v>
      </c>
      <c r="R260" s="2" t="str">
        <f t="shared" ca="1" si="133"/>
        <v>Itacoatiara</v>
      </c>
      <c r="S260" s="8">
        <f t="shared" ca="1" si="134"/>
        <v>1</v>
      </c>
      <c r="T260" s="10">
        <f t="shared" ca="1" si="135"/>
        <v>136909</v>
      </c>
      <c r="U260" s="10">
        <f t="shared" ca="1" si="136"/>
        <v>116372.65</v>
      </c>
      <c r="V260" s="10">
        <f t="shared" ca="1" si="137"/>
        <v>136909</v>
      </c>
      <c r="W260" s="10">
        <f t="shared" ca="1" si="138"/>
        <v>116372.65</v>
      </c>
      <c r="X260" s="10">
        <f t="shared" ca="1" si="139"/>
        <v>20536.350000000006</v>
      </c>
      <c r="Y260" s="12">
        <f t="shared" ca="1" si="140"/>
        <v>0.15000000000000005</v>
      </c>
      <c r="Z260" s="2" t="str">
        <f t="shared" ca="1" si="141"/>
        <v>Em negociação</v>
      </c>
      <c r="AA260" s="8">
        <f t="shared" ca="1" si="142"/>
        <v>23</v>
      </c>
      <c r="AB260" s="2">
        <f t="shared" ca="1" si="143"/>
        <v>19</v>
      </c>
      <c r="AC260" s="2">
        <f t="shared" ca="1" si="144"/>
        <v>7</v>
      </c>
    </row>
    <row r="261" spans="1:29" x14ac:dyDescent="0.25">
      <c r="A261" s="14" t="str">
        <f t="shared" si="116"/>
        <v>VND-00261</v>
      </c>
      <c r="B261" s="5">
        <f t="shared" ca="1" si="117"/>
        <v>45643</v>
      </c>
      <c r="C261" s="2">
        <f t="shared" ca="1" si="118"/>
        <v>2024</v>
      </c>
      <c r="D261" s="2" t="str">
        <f t="shared" ca="1" si="119"/>
        <v>dezembro</v>
      </c>
      <c r="E261" s="2" t="str">
        <f t="shared" ca="1" si="120"/>
        <v>2024/12</v>
      </c>
      <c r="F261" s="14" t="str">
        <f t="shared" ca="1" si="121"/>
        <v>CLI-2848</v>
      </c>
      <c r="G261" s="2" t="str">
        <f t="shared" ca="1" si="122"/>
        <v>Lucas</v>
      </c>
      <c r="H261" s="2" t="str">
        <f t="shared" ca="1" si="123"/>
        <v>Recorrente</v>
      </c>
      <c r="I261" s="2" t="str">
        <f t="shared" ca="1" si="124"/>
        <v>Bruno</v>
      </c>
      <c r="J261" s="14" t="str">
        <f t="shared" ca="1" si="125"/>
        <v>VCL-1610</v>
      </c>
      <c r="K261" s="2" t="str">
        <f t="shared" ca="1" si="126"/>
        <v>Corolla</v>
      </c>
      <c r="L261" s="2" t="str">
        <f t="shared" ca="1" si="127"/>
        <v>Toyota</v>
      </c>
      <c r="M261" s="2" t="str">
        <f t="shared" ca="1" si="128"/>
        <v>SUV</v>
      </c>
      <c r="N261" s="2">
        <f t="shared" ca="1" si="129"/>
        <v>2016</v>
      </c>
      <c r="O261" s="2" t="str">
        <f t="shared" ca="1" si="130"/>
        <v>Loja</v>
      </c>
      <c r="P261" s="2" t="str">
        <f t="shared" ca="1" si="131"/>
        <v>Sul</v>
      </c>
      <c r="Q261" s="2" t="str">
        <f t="shared" ca="1" si="132"/>
        <v>PR</v>
      </c>
      <c r="R261" s="2" t="str">
        <f t="shared" ca="1" si="133"/>
        <v>Ponta Grossa</v>
      </c>
      <c r="S261" s="8">
        <f t="shared" ca="1" si="134"/>
        <v>2</v>
      </c>
      <c r="T261" s="10">
        <f t="shared" ca="1" si="135"/>
        <v>213880</v>
      </c>
      <c r="U261" s="10">
        <f t="shared" ca="1" si="136"/>
        <v>151854.79999999999</v>
      </c>
      <c r="V261" s="10">
        <f t="shared" ca="1" si="137"/>
        <v>427760</v>
      </c>
      <c r="W261" s="10">
        <f t="shared" ca="1" si="138"/>
        <v>303709.59999999998</v>
      </c>
      <c r="X261" s="10">
        <f t="shared" ca="1" si="139"/>
        <v>124050.40000000002</v>
      </c>
      <c r="Y261" s="12">
        <f t="shared" ca="1" si="140"/>
        <v>0.29000000000000004</v>
      </c>
      <c r="Z261" s="2" t="str">
        <f t="shared" ca="1" si="141"/>
        <v>Concluída</v>
      </c>
      <c r="AA261" s="8">
        <f t="shared" ca="1" si="142"/>
        <v>24</v>
      </c>
      <c r="AB261" s="2">
        <f t="shared" ca="1" si="143"/>
        <v>18</v>
      </c>
      <c r="AC261" s="2">
        <f t="shared" ca="1" si="144"/>
        <v>7</v>
      </c>
    </row>
    <row r="262" spans="1:29" x14ac:dyDescent="0.25">
      <c r="A262" s="14" t="str">
        <f t="shared" si="116"/>
        <v>VND-00262</v>
      </c>
      <c r="B262" s="5">
        <f t="shared" ca="1" si="117"/>
        <v>45609</v>
      </c>
      <c r="C262" s="2">
        <f t="shared" ca="1" si="118"/>
        <v>2024</v>
      </c>
      <c r="D262" s="2" t="str">
        <f t="shared" ca="1" si="119"/>
        <v>novembro</v>
      </c>
      <c r="E262" s="2" t="str">
        <f t="shared" ca="1" si="120"/>
        <v>2024/11</v>
      </c>
      <c r="F262" s="14" t="str">
        <f t="shared" ca="1" si="121"/>
        <v>CLI-3856</v>
      </c>
      <c r="G262" s="2" t="str">
        <f t="shared" ca="1" si="122"/>
        <v>Rafael</v>
      </c>
      <c r="H262" s="2" t="str">
        <f t="shared" ca="1" si="123"/>
        <v>Novo</v>
      </c>
      <c r="I262" s="2" t="str">
        <f t="shared" ca="1" si="124"/>
        <v>André</v>
      </c>
      <c r="J262" s="14" t="str">
        <f t="shared" ca="1" si="125"/>
        <v>VCL-8523</v>
      </c>
      <c r="K262" s="2" t="str">
        <f t="shared" ca="1" si="126"/>
        <v>Corolla</v>
      </c>
      <c r="L262" s="2" t="str">
        <f t="shared" ca="1" si="127"/>
        <v>Toyota</v>
      </c>
      <c r="M262" s="2" t="str">
        <f t="shared" ca="1" si="128"/>
        <v>SUV</v>
      </c>
      <c r="N262" s="2">
        <f t="shared" ca="1" si="129"/>
        <v>2015</v>
      </c>
      <c r="O262" s="2" t="str">
        <f t="shared" ca="1" si="130"/>
        <v>Online</v>
      </c>
      <c r="P262" s="2" t="str">
        <f t="shared" ca="1" si="131"/>
        <v>Nordeste</v>
      </c>
      <c r="Q262" s="2" t="str">
        <f t="shared" ca="1" si="132"/>
        <v>PE</v>
      </c>
      <c r="R262" s="2" t="str">
        <f t="shared" ca="1" si="133"/>
        <v>Caruaru</v>
      </c>
      <c r="S262" s="8">
        <f t="shared" ca="1" si="134"/>
        <v>4</v>
      </c>
      <c r="T262" s="10">
        <f t="shared" ca="1" si="135"/>
        <v>87896</v>
      </c>
      <c r="U262" s="10">
        <f t="shared" ca="1" si="136"/>
        <v>74711.599999999991</v>
      </c>
      <c r="V262" s="10">
        <f t="shared" ca="1" si="137"/>
        <v>351584</v>
      </c>
      <c r="W262" s="10">
        <f t="shared" ca="1" si="138"/>
        <v>298846.39999999997</v>
      </c>
      <c r="X262" s="10">
        <f t="shared" ca="1" si="139"/>
        <v>52737.600000000035</v>
      </c>
      <c r="Y262" s="12">
        <f t="shared" ca="1" si="140"/>
        <v>0.15000000000000011</v>
      </c>
      <c r="Z262" s="2" t="str">
        <f t="shared" ca="1" si="141"/>
        <v>Concluída</v>
      </c>
      <c r="AA262" s="8">
        <f t="shared" ca="1" si="142"/>
        <v>16</v>
      </c>
      <c r="AB262" s="2">
        <f t="shared" ca="1" si="143"/>
        <v>15</v>
      </c>
      <c r="AC262" s="2">
        <f t="shared" ca="1" si="144"/>
        <v>7</v>
      </c>
    </row>
    <row r="263" spans="1:29" x14ac:dyDescent="0.25">
      <c r="A263" s="14" t="str">
        <f t="shared" si="116"/>
        <v>VND-00263</v>
      </c>
      <c r="B263" s="5">
        <f t="shared" ca="1" si="117"/>
        <v>45134</v>
      </c>
      <c r="C263" s="2">
        <f t="shared" ca="1" si="118"/>
        <v>2023</v>
      </c>
      <c r="D263" s="2" t="str">
        <f t="shared" ca="1" si="119"/>
        <v>julho</v>
      </c>
      <c r="E263" s="2" t="str">
        <f t="shared" ca="1" si="120"/>
        <v>2023/07</v>
      </c>
      <c r="F263" s="14" t="str">
        <f t="shared" ca="1" si="121"/>
        <v>CLI-4966</v>
      </c>
      <c r="G263" s="2" t="str">
        <f t="shared" ca="1" si="122"/>
        <v>Rafael</v>
      </c>
      <c r="H263" s="2" t="str">
        <f t="shared" ca="1" si="123"/>
        <v>Novo</v>
      </c>
      <c r="I263" s="2" t="str">
        <f t="shared" ca="1" si="124"/>
        <v>Bruno</v>
      </c>
      <c r="J263" s="14" t="str">
        <f t="shared" ca="1" si="125"/>
        <v>VCL-2702</v>
      </c>
      <c r="K263" s="2" t="str">
        <f t="shared" ca="1" si="126"/>
        <v>Compass</v>
      </c>
      <c r="L263" s="2" t="str">
        <f t="shared" ca="1" si="127"/>
        <v>Jeep</v>
      </c>
      <c r="M263" s="2" t="str">
        <f t="shared" ca="1" si="128"/>
        <v>SUV</v>
      </c>
      <c r="N263" s="2">
        <f t="shared" ca="1" si="129"/>
        <v>2022</v>
      </c>
      <c r="O263" s="2" t="str">
        <f t="shared" ca="1" si="130"/>
        <v>Loja</v>
      </c>
      <c r="P263" s="2" t="str">
        <f t="shared" ca="1" si="131"/>
        <v>Sul</v>
      </c>
      <c r="Q263" s="2" t="str">
        <f t="shared" ca="1" si="132"/>
        <v>PR</v>
      </c>
      <c r="R263" s="2" t="str">
        <f t="shared" ca="1" si="133"/>
        <v>Ponta Grossa</v>
      </c>
      <c r="S263" s="8">
        <f t="shared" ca="1" si="134"/>
        <v>8</v>
      </c>
      <c r="T263" s="10">
        <f t="shared" ca="1" si="135"/>
        <v>220857</v>
      </c>
      <c r="U263" s="10">
        <f t="shared" ca="1" si="136"/>
        <v>159017.04</v>
      </c>
      <c r="V263" s="10">
        <f t="shared" ca="1" si="137"/>
        <v>1766856</v>
      </c>
      <c r="W263" s="10">
        <f t="shared" ca="1" si="138"/>
        <v>1272136.32</v>
      </c>
      <c r="X263" s="10">
        <f t="shared" ca="1" si="139"/>
        <v>494719.67999999993</v>
      </c>
      <c r="Y263" s="12">
        <f t="shared" ca="1" si="140"/>
        <v>0.27999999999999997</v>
      </c>
      <c r="Z263" s="2" t="str">
        <f t="shared" ca="1" si="141"/>
        <v>Concluída</v>
      </c>
      <c r="AA263" s="8">
        <f t="shared" ca="1" si="142"/>
        <v>12</v>
      </c>
      <c r="AB263" s="2">
        <f t="shared" ca="1" si="143"/>
        <v>20</v>
      </c>
      <c r="AC263" s="2">
        <f t="shared" ca="1" si="144"/>
        <v>7</v>
      </c>
    </row>
    <row r="264" spans="1:29" x14ac:dyDescent="0.25">
      <c r="A264" s="14" t="str">
        <f t="shared" si="116"/>
        <v>VND-00264</v>
      </c>
      <c r="B264" s="5">
        <f t="shared" ca="1" si="117"/>
        <v>45708</v>
      </c>
      <c r="C264" s="2">
        <f t="shared" ca="1" si="118"/>
        <v>2025</v>
      </c>
      <c r="D264" s="2" t="str">
        <f t="shared" ca="1" si="119"/>
        <v>fevereiro</v>
      </c>
      <c r="E264" s="2" t="str">
        <f t="shared" ca="1" si="120"/>
        <v>2025/02</v>
      </c>
      <c r="F264" s="14" t="str">
        <f t="shared" ca="1" si="121"/>
        <v>CLI-6215</v>
      </c>
      <c r="G264" s="2" t="str">
        <f t="shared" ca="1" si="122"/>
        <v>Rafael</v>
      </c>
      <c r="H264" s="2" t="str">
        <f t="shared" ca="1" si="123"/>
        <v>Novo</v>
      </c>
      <c r="I264" s="2" t="str">
        <f t="shared" ca="1" si="124"/>
        <v>Patricia</v>
      </c>
      <c r="J264" s="14" t="str">
        <f t="shared" ca="1" si="125"/>
        <v>VCL-4388</v>
      </c>
      <c r="K264" s="2" t="str">
        <f t="shared" ca="1" si="126"/>
        <v>BMW X1</v>
      </c>
      <c r="L264" s="2" t="str">
        <f t="shared" ca="1" si="127"/>
        <v>BMW</v>
      </c>
      <c r="M264" s="2" t="str">
        <f t="shared" ca="1" si="128"/>
        <v>Luxo</v>
      </c>
      <c r="N264" s="2">
        <f t="shared" ca="1" si="129"/>
        <v>2020</v>
      </c>
      <c r="O264" s="2" t="str">
        <f t="shared" ca="1" si="130"/>
        <v>Online</v>
      </c>
      <c r="P264" s="2" t="str">
        <f t="shared" ca="1" si="131"/>
        <v>Nordeste</v>
      </c>
      <c r="Q264" s="2" t="str">
        <f t="shared" ca="1" si="132"/>
        <v>CE</v>
      </c>
      <c r="R264" s="2" t="str">
        <f t="shared" ca="1" si="133"/>
        <v>Caucaia</v>
      </c>
      <c r="S264" s="8">
        <f t="shared" ca="1" si="134"/>
        <v>5</v>
      </c>
      <c r="T264" s="10">
        <f t="shared" ca="1" si="135"/>
        <v>94748</v>
      </c>
      <c r="U264" s="10">
        <f t="shared" ca="1" si="136"/>
        <v>80535.8</v>
      </c>
      <c r="V264" s="10">
        <f t="shared" ca="1" si="137"/>
        <v>473740</v>
      </c>
      <c r="W264" s="10">
        <f t="shared" ca="1" si="138"/>
        <v>402679</v>
      </c>
      <c r="X264" s="10">
        <f t="shared" ca="1" si="139"/>
        <v>71061</v>
      </c>
      <c r="Y264" s="12">
        <f t="shared" ca="1" si="140"/>
        <v>0.15</v>
      </c>
      <c r="Z264" s="2" t="str">
        <f t="shared" ca="1" si="141"/>
        <v>Cancelada</v>
      </c>
      <c r="AA264" s="8">
        <f t="shared" ca="1" si="142"/>
        <v>7</v>
      </c>
      <c r="AB264" s="2">
        <f t="shared" ca="1" si="143"/>
        <v>1</v>
      </c>
      <c r="AC264" s="2">
        <f t="shared" ca="1" si="144"/>
        <v>3</v>
      </c>
    </row>
    <row r="265" spans="1:29" x14ac:dyDescent="0.25">
      <c r="A265" s="14" t="str">
        <f t="shared" si="116"/>
        <v>VND-00265</v>
      </c>
      <c r="B265" s="5">
        <f t="shared" ca="1" si="117"/>
        <v>44975</v>
      </c>
      <c r="C265" s="2">
        <f t="shared" ca="1" si="118"/>
        <v>2023</v>
      </c>
      <c r="D265" s="2" t="str">
        <f t="shared" ca="1" si="119"/>
        <v>fevereiro</v>
      </c>
      <c r="E265" s="2" t="str">
        <f t="shared" ca="1" si="120"/>
        <v>2023/02</v>
      </c>
      <c r="F265" s="14" t="str">
        <f t="shared" ca="1" si="121"/>
        <v>CLI-6095</v>
      </c>
      <c r="G265" s="2" t="str">
        <f t="shared" ca="1" si="122"/>
        <v>Rafael</v>
      </c>
      <c r="H265" s="2" t="str">
        <f t="shared" ca="1" si="123"/>
        <v>Novo</v>
      </c>
      <c r="I265" s="2" t="str">
        <f t="shared" ca="1" si="124"/>
        <v>Vinicius</v>
      </c>
      <c r="J265" s="14" t="str">
        <f t="shared" ca="1" si="125"/>
        <v>VCL-4989</v>
      </c>
      <c r="K265" s="2" t="str">
        <f t="shared" ca="1" si="126"/>
        <v>HB20</v>
      </c>
      <c r="L265" s="2" t="str">
        <f t="shared" ca="1" si="127"/>
        <v>Hyundai</v>
      </c>
      <c r="M265" s="2" t="str">
        <f t="shared" ca="1" si="128"/>
        <v>Popular</v>
      </c>
      <c r="N265" s="2">
        <f t="shared" ca="1" si="129"/>
        <v>2015</v>
      </c>
      <c r="O265" s="2" t="str">
        <f t="shared" ca="1" si="130"/>
        <v>Online</v>
      </c>
      <c r="P265" s="2" t="str">
        <f t="shared" ca="1" si="131"/>
        <v>Centro-Oeste</v>
      </c>
      <c r="Q265" s="2" t="str">
        <f t="shared" ca="1" si="132"/>
        <v>MT</v>
      </c>
      <c r="R265" s="2" t="str">
        <f t="shared" ca="1" si="133"/>
        <v>Sinop</v>
      </c>
      <c r="S265" s="8">
        <f t="shared" ca="1" si="134"/>
        <v>9</v>
      </c>
      <c r="T265" s="10">
        <f t="shared" ca="1" si="135"/>
        <v>215928</v>
      </c>
      <c r="U265" s="10">
        <f t="shared" ca="1" si="136"/>
        <v>179220.24</v>
      </c>
      <c r="V265" s="10">
        <f t="shared" ca="1" si="137"/>
        <v>1943352</v>
      </c>
      <c r="W265" s="10">
        <f t="shared" ca="1" si="138"/>
        <v>1612982.16</v>
      </c>
      <c r="X265" s="10">
        <f t="shared" ca="1" si="139"/>
        <v>330369.84000000008</v>
      </c>
      <c r="Y265" s="12">
        <f t="shared" ca="1" si="140"/>
        <v>0.17000000000000004</v>
      </c>
      <c r="Z265" s="2" t="str">
        <f t="shared" ca="1" si="141"/>
        <v>Cancelada</v>
      </c>
      <c r="AA265" s="8">
        <f t="shared" ca="1" si="142"/>
        <v>30</v>
      </c>
      <c r="AB265" s="2">
        <f t="shared" ca="1" si="143"/>
        <v>21</v>
      </c>
      <c r="AC265" s="2">
        <f t="shared" ca="1" si="144"/>
        <v>10</v>
      </c>
    </row>
    <row r="266" spans="1:29" x14ac:dyDescent="0.25">
      <c r="A266" s="14" t="str">
        <f t="shared" si="116"/>
        <v>VND-00266</v>
      </c>
      <c r="B266" s="5">
        <f t="shared" ca="1" si="117"/>
        <v>45292</v>
      </c>
      <c r="C266" s="2">
        <f t="shared" ca="1" si="118"/>
        <v>2024</v>
      </c>
      <c r="D266" s="2" t="str">
        <f t="shared" ca="1" si="119"/>
        <v>janeiro</v>
      </c>
      <c r="E266" s="2" t="str">
        <f t="shared" ca="1" si="120"/>
        <v>2024/01</v>
      </c>
      <c r="F266" s="14" t="str">
        <f t="shared" ca="1" si="121"/>
        <v>CLI-3887</v>
      </c>
      <c r="G266" s="2" t="str">
        <f t="shared" ca="1" si="122"/>
        <v>Rafael</v>
      </c>
      <c r="H266" s="2" t="str">
        <f t="shared" ca="1" si="123"/>
        <v>Novo</v>
      </c>
      <c r="I266" s="2" t="str">
        <f t="shared" ca="1" si="124"/>
        <v>Tatiane</v>
      </c>
      <c r="J266" s="14" t="str">
        <f t="shared" ca="1" si="125"/>
        <v>VCL-4898</v>
      </c>
      <c r="K266" s="2" t="str">
        <f t="shared" ca="1" si="126"/>
        <v>Compass</v>
      </c>
      <c r="L266" s="2" t="str">
        <f t="shared" ca="1" si="127"/>
        <v>Jeep</v>
      </c>
      <c r="M266" s="2" t="str">
        <f t="shared" ca="1" si="128"/>
        <v>SUV</v>
      </c>
      <c r="N266" s="2">
        <f t="shared" ca="1" si="129"/>
        <v>2024</v>
      </c>
      <c r="O266" s="2" t="str">
        <f t="shared" ca="1" si="130"/>
        <v>Online</v>
      </c>
      <c r="P266" s="2" t="str">
        <f t="shared" ca="1" si="131"/>
        <v>Norte</v>
      </c>
      <c r="Q266" s="2" t="str">
        <f t="shared" ca="1" si="132"/>
        <v>PA</v>
      </c>
      <c r="R266" s="2" t="str">
        <f t="shared" ca="1" si="133"/>
        <v>Ananindeua</v>
      </c>
      <c r="S266" s="8">
        <f t="shared" ca="1" si="134"/>
        <v>7</v>
      </c>
      <c r="T266" s="10">
        <f t="shared" ca="1" si="135"/>
        <v>199721</v>
      </c>
      <c r="U266" s="10">
        <f t="shared" ca="1" si="136"/>
        <v>161774.01</v>
      </c>
      <c r="V266" s="10">
        <f t="shared" ca="1" si="137"/>
        <v>1398047</v>
      </c>
      <c r="W266" s="10">
        <f t="shared" ca="1" si="138"/>
        <v>1132418.07</v>
      </c>
      <c r="X266" s="10">
        <f t="shared" ca="1" si="139"/>
        <v>265628.92999999993</v>
      </c>
      <c r="Y266" s="12">
        <f t="shared" ca="1" si="140"/>
        <v>0.18999999999999995</v>
      </c>
      <c r="Z266" s="2" t="str">
        <f t="shared" ca="1" si="141"/>
        <v>Em negociação</v>
      </c>
      <c r="AA266" s="8">
        <f t="shared" ca="1" si="142"/>
        <v>27</v>
      </c>
      <c r="AB266" s="2">
        <f t="shared" ca="1" si="143"/>
        <v>9</v>
      </c>
      <c r="AC266" s="2">
        <f t="shared" ca="1" si="144"/>
        <v>7</v>
      </c>
    </row>
    <row r="267" spans="1:29" x14ac:dyDescent="0.25">
      <c r="A267" s="14" t="str">
        <f t="shared" si="116"/>
        <v>VND-00267</v>
      </c>
      <c r="B267" s="5">
        <f t="shared" ca="1" si="117"/>
        <v>45860</v>
      </c>
      <c r="C267" s="2">
        <f t="shared" ca="1" si="118"/>
        <v>2025</v>
      </c>
      <c r="D267" s="2" t="str">
        <f t="shared" ca="1" si="119"/>
        <v>julho</v>
      </c>
      <c r="E267" s="2" t="str">
        <f t="shared" ca="1" si="120"/>
        <v>2025/07</v>
      </c>
      <c r="F267" s="14" t="str">
        <f t="shared" ca="1" si="121"/>
        <v>CLI-4461</v>
      </c>
      <c r="G267" s="2" t="str">
        <f t="shared" ca="1" si="122"/>
        <v>Ana</v>
      </c>
      <c r="H267" s="2" t="str">
        <f t="shared" ca="1" si="123"/>
        <v>Novo</v>
      </c>
      <c r="I267" s="2" t="str">
        <f t="shared" ca="1" si="124"/>
        <v>Fernanda</v>
      </c>
      <c r="J267" s="14" t="str">
        <f t="shared" ca="1" si="125"/>
        <v>VCL-3393</v>
      </c>
      <c r="K267" s="2" t="str">
        <f t="shared" ca="1" si="126"/>
        <v>Onix</v>
      </c>
      <c r="L267" s="2" t="str">
        <f t="shared" ca="1" si="127"/>
        <v>Chevrolet</v>
      </c>
      <c r="M267" s="2" t="str">
        <f t="shared" ca="1" si="128"/>
        <v>Popular</v>
      </c>
      <c r="N267" s="2">
        <f t="shared" ca="1" si="129"/>
        <v>2019</v>
      </c>
      <c r="O267" s="2" t="str">
        <f t="shared" ca="1" si="130"/>
        <v>Loja</v>
      </c>
      <c r="P267" s="2" t="str">
        <f t="shared" ca="1" si="131"/>
        <v>Nordeste</v>
      </c>
      <c r="Q267" s="2" t="str">
        <f t="shared" ca="1" si="132"/>
        <v>PE</v>
      </c>
      <c r="R267" s="2" t="str">
        <f t="shared" ca="1" si="133"/>
        <v>Recife</v>
      </c>
      <c r="S267" s="8">
        <f t="shared" ca="1" si="134"/>
        <v>9</v>
      </c>
      <c r="T267" s="10">
        <f t="shared" ca="1" si="135"/>
        <v>72936</v>
      </c>
      <c r="U267" s="10">
        <f t="shared" ca="1" si="136"/>
        <v>52513.919999999998</v>
      </c>
      <c r="V267" s="10">
        <f t="shared" ca="1" si="137"/>
        <v>656424</v>
      </c>
      <c r="W267" s="10">
        <f t="shared" ca="1" si="138"/>
        <v>472625.27999999997</v>
      </c>
      <c r="X267" s="10">
        <f t="shared" ca="1" si="139"/>
        <v>183798.72000000003</v>
      </c>
      <c r="Y267" s="12">
        <f t="shared" ca="1" si="140"/>
        <v>0.28000000000000003</v>
      </c>
      <c r="Z267" s="2" t="str">
        <f t="shared" ca="1" si="141"/>
        <v>Em negociação</v>
      </c>
      <c r="AA267" s="8">
        <f t="shared" ca="1" si="142"/>
        <v>30</v>
      </c>
      <c r="AB267" s="2">
        <f t="shared" ca="1" si="143"/>
        <v>15</v>
      </c>
      <c r="AC267" s="2">
        <f t="shared" ca="1" si="144"/>
        <v>10</v>
      </c>
    </row>
    <row r="268" spans="1:29" x14ac:dyDescent="0.25">
      <c r="A268" s="14" t="str">
        <f t="shared" si="116"/>
        <v>VND-00268</v>
      </c>
      <c r="B268" s="5">
        <f t="shared" ca="1" si="117"/>
        <v>45841</v>
      </c>
      <c r="C268" s="2">
        <f t="shared" ca="1" si="118"/>
        <v>2025</v>
      </c>
      <c r="D268" s="2" t="str">
        <f t="shared" ca="1" si="119"/>
        <v>julho</v>
      </c>
      <c r="E268" s="2" t="str">
        <f t="shared" ca="1" si="120"/>
        <v>2025/07</v>
      </c>
      <c r="F268" s="14" t="str">
        <f t="shared" ca="1" si="121"/>
        <v>CLI-1657</v>
      </c>
      <c r="G268" s="2" t="str">
        <f t="shared" ca="1" si="122"/>
        <v>Carlos</v>
      </c>
      <c r="H268" s="2" t="str">
        <f t="shared" ca="1" si="123"/>
        <v>Novo</v>
      </c>
      <c r="I268" s="2" t="str">
        <f t="shared" ca="1" si="124"/>
        <v>Pedro</v>
      </c>
      <c r="J268" s="14" t="str">
        <f t="shared" ca="1" si="125"/>
        <v>VCL-6766</v>
      </c>
      <c r="K268" s="2" t="str">
        <f t="shared" ca="1" si="126"/>
        <v>HB20</v>
      </c>
      <c r="L268" s="2" t="str">
        <f t="shared" ca="1" si="127"/>
        <v>Hyundai</v>
      </c>
      <c r="M268" s="2" t="str">
        <f t="shared" ca="1" si="128"/>
        <v>Popular</v>
      </c>
      <c r="N268" s="2">
        <f t="shared" ca="1" si="129"/>
        <v>2021</v>
      </c>
      <c r="O268" s="2" t="str">
        <f t="shared" ca="1" si="130"/>
        <v>Loja</v>
      </c>
      <c r="P268" s="2" t="str">
        <f t="shared" ca="1" si="131"/>
        <v>Sudeste</v>
      </c>
      <c r="Q268" s="2" t="str">
        <f t="shared" ca="1" si="132"/>
        <v>RJ</v>
      </c>
      <c r="R268" s="2" t="str">
        <f t="shared" ca="1" si="133"/>
        <v>Nova Iguaçu</v>
      </c>
      <c r="S268" s="8">
        <f t="shared" ca="1" si="134"/>
        <v>3</v>
      </c>
      <c r="T268" s="10">
        <f t="shared" ca="1" si="135"/>
        <v>93262</v>
      </c>
      <c r="U268" s="10">
        <f t="shared" ca="1" si="136"/>
        <v>70879.12</v>
      </c>
      <c r="V268" s="10">
        <f t="shared" ca="1" si="137"/>
        <v>279786</v>
      </c>
      <c r="W268" s="10">
        <f t="shared" ca="1" si="138"/>
        <v>212637.36</v>
      </c>
      <c r="X268" s="10">
        <f t="shared" ca="1" si="139"/>
        <v>67148.640000000014</v>
      </c>
      <c r="Y268" s="12">
        <f t="shared" ca="1" si="140"/>
        <v>0.24000000000000005</v>
      </c>
      <c r="Z268" s="2" t="str">
        <f t="shared" ca="1" si="141"/>
        <v>Concluída</v>
      </c>
      <c r="AA268" s="8">
        <f t="shared" ca="1" si="142"/>
        <v>23</v>
      </c>
      <c r="AB268" s="2">
        <f t="shared" ca="1" si="143"/>
        <v>13</v>
      </c>
      <c r="AC268" s="2">
        <f t="shared" ca="1" si="144"/>
        <v>10</v>
      </c>
    </row>
    <row r="269" spans="1:29" x14ac:dyDescent="0.25">
      <c r="A269" s="14" t="str">
        <f t="shared" si="116"/>
        <v>VND-00269</v>
      </c>
      <c r="B269" s="5">
        <f t="shared" ca="1" si="117"/>
        <v>45490</v>
      </c>
      <c r="C269" s="2">
        <f t="shared" ca="1" si="118"/>
        <v>2024</v>
      </c>
      <c r="D269" s="2" t="str">
        <f t="shared" ca="1" si="119"/>
        <v>julho</v>
      </c>
      <c r="E269" s="2" t="str">
        <f t="shared" ca="1" si="120"/>
        <v>2024/07</v>
      </c>
      <c r="F269" s="14" t="str">
        <f t="shared" ca="1" si="121"/>
        <v>CLI-7616</v>
      </c>
      <c r="G269" s="2" t="str">
        <f t="shared" ca="1" si="122"/>
        <v>Rafael</v>
      </c>
      <c r="H269" s="2" t="str">
        <f t="shared" ca="1" si="123"/>
        <v>Recorrente</v>
      </c>
      <c r="I269" s="2" t="str">
        <f t="shared" ca="1" si="124"/>
        <v>Vinicius</v>
      </c>
      <c r="J269" s="14" t="str">
        <f t="shared" ca="1" si="125"/>
        <v>VCL-5402</v>
      </c>
      <c r="K269" s="2" t="str">
        <f t="shared" ca="1" si="126"/>
        <v>Civic</v>
      </c>
      <c r="L269" s="2" t="str">
        <f t="shared" ca="1" si="127"/>
        <v>Honda</v>
      </c>
      <c r="M269" s="2" t="str">
        <f t="shared" ca="1" si="128"/>
        <v>SUV</v>
      </c>
      <c r="N269" s="2">
        <f t="shared" ca="1" si="129"/>
        <v>2023</v>
      </c>
      <c r="O269" s="2" t="str">
        <f t="shared" ca="1" si="130"/>
        <v>Online</v>
      </c>
      <c r="P269" s="2" t="str">
        <f t="shared" ca="1" si="131"/>
        <v>Centro-Oeste</v>
      </c>
      <c r="Q269" s="2" t="str">
        <f t="shared" ca="1" si="132"/>
        <v>DF</v>
      </c>
      <c r="R269" s="2" t="str">
        <f t="shared" ca="1" si="133"/>
        <v>Ceilândia</v>
      </c>
      <c r="S269" s="8">
        <f t="shared" ca="1" si="134"/>
        <v>10</v>
      </c>
      <c r="T269" s="10">
        <f t="shared" ca="1" si="135"/>
        <v>139065</v>
      </c>
      <c r="U269" s="10">
        <f t="shared" ca="1" si="136"/>
        <v>105689.4</v>
      </c>
      <c r="V269" s="10">
        <f t="shared" ca="1" si="137"/>
        <v>1390650</v>
      </c>
      <c r="W269" s="10">
        <f t="shared" ca="1" si="138"/>
        <v>1056894</v>
      </c>
      <c r="X269" s="10">
        <f t="shared" ca="1" si="139"/>
        <v>333756</v>
      </c>
      <c r="Y269" s="12">
        <f t="shared" ca="1" si="140"/>
        <v>0.24</v>
      </c>
      <c r="Z269" s="2" t="str">
        <f t="shared" ca="1" si="141"/>
        <v>Concluída</v>
      </c>
      <c r="AA269" s="8">
        <f t="shared" ca="1" si="142"/>
        <v>4</v>
      </c>
      <c r="AB269" s="2">
        <f t="shared" ca="1" si="143"/>
        <v>20</v>
      </c>
      <c r="AC269" s="2">
        <f t="shared" ca="1" si="144"/>
        <v>7</v>
      </c>
    </row>
    <row r="270" spans="1:29" x14ac:dyDescent="0.25">
      <c r="A270" s="14" t="str">
        <f t="shared" si="116"/>
        <v>VND-00270</v>
      </c>
      <c r="B270" s="5">
        <f t="shared" ca="1" si="117"/>
        <v>45497</v>
      </c>
      <c r="C270" s="2">
        <f t="shared" ca="1" si="118"/>
        <v>2024</v>
      </c>
      <c r="D270" s="2" t="str">
        <f t="shared" ca="1" si="119"/>
        <v>julho</v>
      </c>
      <c r="E270" s="2" t="str">
        <f t="shared" ca="1" si="120"/>
        <v>2024/07</v>
      </c>
      <c r="F270" s="14" t="str">
        <f t="shared" ca="1" si="121"/>
        <v>CLI-9572</v>
      </c>
      <c r="G270" s="2" t="str">
        <f t="shared" ca="1" si="122"/>
        <v>Juliana</v>
      </c>
      <c r="H270" s="2" t="str">
        <f t="shared" ca="1" si="123"/>
        <v>Novo</v>
      </c>
      <c r="I270" s="2" t="str">
        <f t="shared" ca="1" si="124"/>
        <v>Ana</v>
      </c>
      <c r="J270" s="14" t="str">
        <f t="shared" ca="1" si="125"/>
        <v>VCL-2586</v>
      </c>
      <c r="K270" s="2" t="str">
        <f t="shared" ca="1" si="126"/>
        <v>Onix</v>
      </c>
      <c r="L270" s="2" t="str">
        <f t="shared" ca="1" si="127"/>
        <v>Chevrolet</v>
      </c>
      <c r="M270" s="2" t="str">
        <f t="shared" ca="1" si="128"/>
        <v>Popular</v>
      </c>
      <c r="N270" s="2">
        <f t="shared" ca="1" si="129"/>
        <v>2019</v>
      </c>
      <c r="O270" s="2" t="str">
        <f t="shared" ca="1" si="130"/>
        <v>Online</v>
      </c>
      <c r="P270" s="2" t="str">
        <f t="shared" ca="1" si="131"/>
        <v>Sudeste</v>
      </c>
      <c r="Q270" s="2" t="str">
        <f t="shared" ca="1" si="132"/>
        <v>SP</v>
      </c>
      <c r="R270" s="2" t="str">
        <f t="shared" ca="1" si="133"/>
        <v>Sorocaba</v>
      </c>
      <c r="S270" s="8">
        <f t="shared" ca="1" si="134"/>
        <v>4</v>
      </c>
      <c r="T270" s="10">
        <f t="shared" ca="1" si="135"/>
        <v>76229</v>
      </c>
      <c r="U270" s="10">
        <f t="shared" ca="1" si="136"/>
        <v>64032.36</v>
      </c>
      <c r="V270" s="10">
        <f t="shared" ca="1" si="137"/>
        <v>304916</v>
      </c>
      <c r="W270" s="10">
        <f t="shared" ca="1" si="138"/>
        <v>256129.44</v>
      </c>
      <c r="X270" s="10">
        <f t="shared" ca="1" si="139"/>
        <v>48786.559999999998</v>
      </c>
      <c r="Y270" s="12">
        <f t="shared" ca="1" si="140"/>
        <v>0.16</v>
      </c>
      <c r="Z270" s="2" t="str">
        <f t="shared" ca="1" si="141"/>
        <v>Em negociação</v>
      </c>
      <c r="AA270" s="8">
        <f t="shared" ca="1" si="142"/>
        <v>24</v>
      </c>
      <c r="AB270" s="2">
        <f t="shared" ca="1" si="143"/>
        <v>11</v>
      </c>
      <c r="AC270" s="2">
        <f t="shared" ca="1" si="144"/>
        <v>10</v>
      </c>
    </row>
    <row r="271" spans="1:29" x14ac:dyDescent="0.25">
      <c r="A271" s="14" t="str">
        <f t="shared" si="116"/>
        <v>VND-00271</v>
      </c>
      <c r="B271" s="5">
        <f t="shared" ca="1" si="117"/>
        <v>45358</v>
      </c>
      <c r="C271" s="2">
        <f t="shared" ca="1" si="118"/>
        <v>2024</v>
      </c>
      <c r="D271" s="2" t="str">
        <f t="shared" ca="1" si="119"/>
        <v>março</v>
      </c>
      <c r="E271" s="2" t="str">
        <f t="shared" ca="1" si="120"/>
        <v>2024/03</v>
      </c>
      <c r="F271" s="14" t="str">
        <f t="shared" ca="1" si="121"/>
        <v>CLI-6948</v>
      </c>
      <c r="G271" s="2" t="str">
        <f t="shared" ca="1" si="122"/>
        <v>Fernanda</v>
      </c>
      <c r="H271" s="2" t="str">
        <f t="shared" ca="1" si="123"/>
        <v>Novo</v>
      </c>
      <c r="I271" s="2" t="str">
        <f t="shared" ca="1" si="124"/>
        <v>André</v>
      </c>
      <c r="J271" s="14" t="str">
        <f t="shared" ca="1" si="125"/>
        <v>VCL-5317</v>
      </c>
      <c r="K271" s="2" t="str">
        <f t="shared" ca="1" si="126"/>
        <v>Corolla</v>
      </c>
      <c r="L271" s="2" t="str">
        <f t="shared" ca="1" si="127"/>
        <v>Toyota</v>
      </c>
      <c r="M271" s="2" t="str">
        <f t="shared" ca="1" si="128"/>
        <v>SUV</v>
      </c>
      <c r="N271" s="2">
        <f t="shared" ca="1" si="129"/>
        <v>2021</v>
      </c>
      <c r="O271" s="2" t="str">
        <f t="shared" ca="1" si="130"/>
        <v>Loja</v>
      </c>
      <c r="P271" s="2" t="str">
        <f t="shared" ca="1" si="131"/>
        <v>Nordeste</v>
      </c>
      <c r="Q271" s="2" t="str">
        <f t="shared" ca="1" si="132"/>
        <v>BA</v>
      </c>
      <c r="R271" s="2" t="str">
        <f t="shared" ca="1" si="133"/>
        <v>Camaçari</v>
      </c>
      <c r="S271" s="8">
        <f t="shared" ca="1" si="134"/>
        <v>8</v>
      </c>
      <c r="T271" s="10">
        <f t="shared" ca="1" si="135"/>
        <v>120768</v>
      </c>
      <c r="U271" s="10">
        <f t="shared" ca="1" si="136"/>
        <v>84537.599999999991</v>
      </c>
      <c r="V271" s="10">
        <f t="shared" ca="1" si="137"/>
        <v>966144</v>
      </c>
      <c r="W271" s="10">
        <f t="shared" ca="1" si="138"/>
        <v>676300.79999999993</v>
      </c>
      <c r="X271" s="10">
        <f t="shared" ca="1" si="139"/>
        <v>289843.20000000007</v>
      </c>
      <c r="Y271" s="12">
        <f t="shared" ca="1" si="140"/>
        <v>0.3000000000000001</v>
      </c>
      <c r="Z271" s="2" t="str">
        <f t="shared" ca="1" si="141"/>
        <v>Cancelada</v>
      </c>
      <c r="AA271" s="8">
        <f t="shared" ca="1" si="142"/>
        <v>10</v>
      </c>
      <c r="AB271" s="2">
        <f t="shared" ca="1" si="143"/>
        <v>11</v>
      </c>
      <c r="AC271" s="2">
        <f t="shared" ca="1" si="144"/>
        <v>7</v>
      </c>
    </row>
    <row r="272" spans="1:29" x14ac:dyDescent="0.25">
      <c r="A272" s="14" t="str">
        <f t="shared" si="116"/>
        <v>VND-00272</v>
      </c>
      <c r="B272" s="5">
        <f t="shared" ca="1" si="117"/>
        <v>45001</v>
      </c>
      <c r="C272" s="2">
        <f t="shared" ca="1" si="118"/>
        <v>2023</v>
      </c>
      <c r="D272" s="2" t="str">
        <f t="shared" ca="1" si="119"/>
        <v>março</v>
      </c>
      <c r="E272" s="2" t="str">
        <f t="shared" ca="1" si="120"/>
        <v>2023/03</v>
      </c>
      <c r="F272" s="14" t="str">
        <f t="shared" ca="1" si="121"/>
        <v>CLI-5688</v>
      </c>
      <c r="G272" s="2" t="str">
        <f t="shared" ca="1" si="122"/>
        <v>Maria</v>
      </c>
      <c r="H272" s="2" t="str">
        <f t="shared" ca="1" si="123"/>
        <v>Recorrente</v>
      </c>
      <c r="I272" s="2" t="str">
        <f t="shared" ca="1" si="124"/>
        <v>Eduardo</v>
      </c>
      <c r="J272" s="14" t="str">
        <f t="shared" ca="1" si="125"/>
        <v>VCL-6455</v>
      </c>
      <c r="K272" s="2" t="str">
        <f t="shared" ca="1" si="126"/>
        <v>Civic</v>
      </c>
      <c r="L272" s="2" t="str">
        <f t="shared" ca="1" si="127"/>
        <v>Honda</v>
      </c>
      <c r="M272" s="2" t="str">
        <f t="shared" ca="1" si="128"/>
        <v>SUV</v>
      </c>
      <c r="N272" s="2">
        <f t="shared" ca="1" si="129"/>
        <v>2016</v>
      </c>
      <c r="O272" s="2" t="str">
        <f t="shared" ca="1" si="130"/>
        <v>Loja</v>
      </c>
      <c r="P272" s="2" t="str">
        <f t="shared" ca="1" si="131"/>
        <v>Centro-Oeste</v>
      </c>
      <c r="Q272" s="2" t="str">
        <f t="shared" ca="1" si="132"/>
        <v>MT</v>
      </c>
      <c r="R272" s="2" t="str">
        <f t="shared" ca="1" si="133"/>
        <v>Várzea Grande</v>
      </c>
      <c r="S272" s="8">
        <f t="shared" ca="1" si="134"/>
        <v>1</v>
      </c>
      <c r="T272" s="10">
        <f t="shared" ca="1" si="135"/>
        <v>135063</v>
      </c>
      <c r="U272" s="10">
        <f t="shared" ca="1" si="136"/>
        <v>102647.88</v>
      </c>
      <c r="V272" s="10">
        <f t="shared" ca="1" si="137"/>
        <v>135063</v>
      </c>
      <c r="W272" s="10">
        <f t="shared" ca="1" si="138"/>
        <v>102647.88</v>
      </c>
      <c r="X272" s="10">
        <f t="shared" ca="1" si="139"/>
        <v>32415.119999999995</v>
      </c>
      <c r="Y272" s="12">
        <f t="shared" ca="1" si="140"/>
        <v>0.23999999999999996</v>
      </c>
      <c r="Z272" s="2" t="str">
        <f t="shared" ca="1" si="141"/>
        <v>Cancelada</v>
      </c>
      <c r="AA272" s="8">
        <f t="shared" ca="1" si="142"/>
        <v>27</v>
      </c>
      <c r="AB272" s="2">
        <f t="shared" ca="1" si="143"/>
        <v>10</v>
      </c>
      <c r="AC272" s="2">
        <f t="shared" ca="1" si="144"/>
        <v>7</v>
      </c>
    </row>
    <row r="273" spans="1:29" x14ac:dyDescent="0.25">
      <c r="A273" s="14" t="str">
        <f t="shared" si="116"/>
        <v>VND-00273</v>
      </c>
      <c r="B273" s="5">
        <f t="shared" ca="1" si="117"/>
        <v>45621</v>
      </c>
      <c r="C273" s="2">
        <f t="shared" ca="1" si="118"/>
        <v>2024</v>
      </c>
      <c r="D273" s="2" t="str">
        <f t="shared" ca="1" si="119"/>
        <v>novembro</v>
      </c>
      <c r="E273" s="2" t="str">
        <f t="shared" ca="1" si="120"/>
        <v>2024/11</v>
      </c>
      <c r="F273" s="14" t="str">
        <f t="shared" ca="1" si="121"/>
        <v>CLI-9316</v>
      </c>
      <c r="G273" s="2" t="str">
        <f t="shared" ca="1" si="122"/>
        <v>Rafael</v>
      </c>
      <c r="H273" s="2" t="str">
        <f t="shared" ca="1" si="123"/>
        <v>Novo</v>
      </c>
      <c r="I273" s="2" t="str">
        <f t="shared" ca="1" si="124"/>
        <v>Ana</v>
      </c>
      <c r="J273" s="14" t="str">
        <f t="shared" ca="1" si="125"/>
        <v>VCL-1445</v>
      </c>
      <c r="K273" s="2" t="str">
        <f t="shared" ca="1" si="126"/>
        <v>BMW X1</v>
      </c>
      <c r="L273" s="2" t="str">
        <f t="shared" ca="1" si="127"/>
        <v>BMW</v>
      </c>
      <c r="M273" s="2" t="str">
        <f t="shared" ca="1" si="128"/>
        <v>Luxo</v>
      </c>
      <c r="N273" s="2">
        <f t="shared" ca="1" si="129"/>
        <v>2023</v>
      </c>
      <c r="O273" s="2" t="str">
        <f t="shared" ca="1" si="130"/>
        <v>Online</v>
      </c>
      <c r="P273" s="2" t="str">
        <f t="shared" ca="1" si="131"/>
        <v>Sudeste</v>
      </c>
      <c r="Q273" s="2" t="str">
        <f t="shared" ca="1" si="132"/>
        <v>ES</v>
      </c>
      <c r="R273" s="2" t="str">
        <f t="shared" ca="1" si="133"/>
        <v>Linhares</v>
      </c>
      <c r="S273" s="8">
        <f t="shared" ca="1" si="134"/>
        <v>2</v>
      </c>
      <c r="T273" s="10">
        <f t="shared" ca="1" si="135"/>
        <v>221596</v>
      </c>
      <c r="U273" s="10">
        <f t="shared" ca="1" si="136"/>
        <v>177276.80000000002</v>
      </c>
      <c r="V273" s="10">
        <f t="shared" ca="1" si="137"/>
        <v>443192</v>
      </c>
      <c r="W273" s="10">
        <f t="shared" ca="1" si="138"/>
        <v>354553.60000000003</v>
      </c>
      <c r="X273" s="10">
        <f t="shared" ca="1" si="139"/>
        <v>88638.399999999965</v>
      </c>
      <c r="Y273" s="12">
        <f t="shared" ca="1" si="140"/>
        <v>0.19999999999999993</v>
      </c>
      <c r="Z273" s="2" t="str">
        <f t="shared" ca="1" si="141"/>
        <v>Concluída</v>
      </c>
      <c r="AA273" s="8">
        <f t="shared" ca="1" si="142"/>
        <v>20</v>
      </c>
      <c r="AB273" s="2">
        <f t="shared" ca="1" si="143"/>
        <v>2</v>
      </c>
      <c r="AC273" s="2">
        <f t="shared" ca="1" si="144"/>
        <v>3</v>
      </c>
    </row>
    <row r="274" spans="1:29" x14ac:dyDescent="0.25">
      <c r="A274" s="14" t="str">
        <f t="shared" si="116"/>
        <v>VND-00274</v>
      </c>
      <c r="B274" s="5">
        <f t="shared" ca="1" si="117"/>
        <v>45379</v>
      </c>
      <c r="C274" s="2">
        <f t="shared" ca="1" si="118"/>
        <v>2024</v>
      </c>
      <c r="D274" s="2" t="str">
        <f t="shared" ca="1" si="119"/>
        <v>março</v>
      </c>
      <c r="E274" s="2" t="str">
        <f t="shared" ca="1" si="120"/>
        <v>2024/03</v>
      </c>
      <c r="F274" s="14" t="str">
        <f t="shared" ca="1" si="121"/>
        <v>CLI-2460</v>
      </c>
      <c r="G274" s="2" t="str">
        <f t="shared" ca="1" si="122"/>
        <v>João</v>
      </c>
      <c r="H274" s="2" t="str">
        <f t="shared" ca="1" si="123"/>
        <v>Novo</v>
      </c>
      <c r="I274" s="2" t="str">
        <f t="shared" ca="1" si="124"/>
        <v>Felipe</v>
      </c>
      <c r="J274" s="14" t="str">
        <f t="shared" ca="1" si="125"/>
        <v>VCL-1298</v>
      </c>
      <c r="K274" s="2" t="str">
        <f t="shared" ca="1" si="126"/>
        <v>HB20</v>
      </c>
      <c r="L274" s="2" t="str">
        <f t="shared" ca="1" si="127"/>
        <v>Hyundai</v>
      </c>
      <c r="M274" s="2" t="str">
        <f t="shared" ca="1" si="128"/>
        <v>Popular</v>
      </c>
      <c r="N274" s="2">
        <f t="shared" ca="1" si="129"/>
        <v>2020</v>
      </c>
      <c r="O274" s="2" t="str">
        <f t="shared" ca="1" si="130"/>
        <v>Online</v>
      </c>
      <c r="P274" s="2" t="str">
        <f t="shared" ca="1" si="131"/>
        <v>Norte</v>
      </c>
      <c r="Q274" s="2" t="str">
        <f t="shared" ca="1" si="132"/>
        <v>PA</v>
      </c>
      <c r="R274" s="2" t="str">
        <f t="shared" ca="1" si="133"/>
        <v>Santarém</v>
      </c>
      <c r="S274" s="8">
        <f t="shared" ca="1" si="134"/>
        <v>8</v>
      </c>
      <c r="T274" s="10">
        <f t="shared" ca="1" si="135"/>
        <v>157266</v>
      </c>
      <c r="U274" s="10">
        <f t="shared" ca="1" si="136"/>
        <v>114804.18</v>
      </c>
      <c r="V274" s="10">
        <f t="shared" ca="1" si="137"/>
        <v>1258128</v>
      </c>
      <c r="W274" s="10">
        <f t="shared" ca="1" si="138"/>
        <v>918433.44</v>
      </c>
      <c r="X274" s="10">
        <f t="shared" ca="1" si="139"/>
        <v>339694.56000000006</v>
      </c>
      <c r="Y274" s="12">
        <f t="shared" ca="1" si="140"/>
        <v>0.27</v>
      </c>
      <c r="Z274" s="2" t="str">
        <f t="shared" ca="1" si="141"/>
        <v>Cancelada</v>
      </c>
      <c r="AA274" s="8">
        <f t="shared" ca="1" si="142"/>
        <v>3</v>
      </c>
      <c r="AB274" s="2">
        <f t="shared" ca="1" si="143"/>
        <v>21</v>
      </c>
      <c r="AC274" s="2">
        <f t="shared" ca="1" si="144"/>
        <v>10</v>
      </c>
    </row>
    <row r="275" spans="1:29" x14ac:dyDescent="0.25">
      <c r="A275" s="14" t="str">
        <f t="shared" si="116"/>
        <v>VND-00275</v>
      </c>
      <c r="B275" s="5">
        <f t="shared" ca="1" si="117"/>
        <v>45712</v>
      </c>
      <c r="C275" s="2">
        <f t="shared" ca="1" si="118"/>
        <v>2025</v>
      </c>
      <c r="D275" s="2" t="str">
        <f t="shared" ca="1" si="119"/>
        <v>fevereiro</v>
      </c>
      <c r="E275" s="2" t="str">
        <f t="shared" ca="1" si="120"/>
        <v>2025/02</v>
      </c>
      <c r="F275" s="14" t="str">
        <f t="shared" ca="1" si="121"/>
        <v>CLI-9134</v>
      </c>
      <c r="G275" s="2" t="str">
        <f t="shared" ca="1" si="122"/>
        <v>Ana</v>
      </c>
      <c r="H275" s="2" t="str">
        <f t="shared" ca="1" si="123"/>
        <v>Recorrente</v>
      </c>
      <c r="I275" s="2" t="str">
        <f t="shared" ca="1" si="124"/>
        <v>André</v>
      </c>
      <c r="J275" s="14" t="str">
        <f t="shared" ca="1" si="125"/>
        <v>VCL-1257</v>
      </c>
      <c r="K275" s="2" t="str">
        <f t="shared" ca="1" si="126"/>
        <v>Onix</v>
      </c>
      <c r="L275" s="2" t="str">
        <f t="shared" ca="1" si="127"/>
        <v>Chevrolet</v>
      </c>
      <c r="M275" s="2" t="str">
        <f t="shared" ca="1" si="128"/>
        <v>Popular</v>
      </c>
      <c r="N275" s="2">
        <f t="shared" ca="1" si="129"/>
        <v>2020</v>
      </c>
      <c r="O275" s="2" t="str">
        <f t="shared" ca="1" si="130"/>
        <v>Online</v>
      </c>
      <c r="P275" s="2" t="str">
        <f t="shared" ca="1" si="131"/>
        <v>Nordeste</v>
      </c>
      <c r="Q275" s="2" t="str">
        <f t="shared" ca="1" si="132"/>
        <v>CE</v>
      </c>
      <c r="R275" s="2" t="str">
        <f t="shared" ca="1" si="133"/>
        <v>Fortaleza</v>
      </c>
      <c r="S275" s="8">
        <f t="shared" ca="1" si="134"/>
        <v>3</v>
      </c>
      <c r="T275" s="10">
        <f t="shared" ca="1" si="135"/>
        <v>152843</v>
      </c>
      <c r="U275" s="10">
        <f t="shared" ca="1" si="136"/>
        <v>111575.39</v>
      </c>
      <c r="V275" s="10">
        <f t="shared" ca="1" si="137"/>
        <v>458529</v>
      </c>
      <c r="W275" s="10">
        <f t="shared" ca="1" si="138"/>
        <v>334726.17</v>
      </c>
      <c r="X275" s="10">
        <f t="shared" ca="1" si="139"/>
        <v>123802.83000000002</v>
      </c>
      <c r="Y275" s="12">
        <f t="shared" ca="1" si="140"/>
        <v>0.27</v>
      </c>
      <c r="Z275" s="2" t="str">
        <f t="shared" ca="1" si="141"/>
        <v>Cancelada</v>
      </c>
      <c r="AA275" s="8">
        <f t="shared" ca="1" si="142"/>
        <v>29</v>
      </c>
      <c r="AB275" s="2">
        <f t="shared" ca="1" si="143"/>
        <v>17</v>
      </c>
      <c r="AC275" s="2">
        <f t="shared" ca="1" si="144"/>
        <v>10</v>
      </c>
    </row>
    <row r="276" spans="1:29" x14ac:dyDescent="0.25">
      <c r="A276" s="14" t="str">
        <f t="shared" si="116"/>
        <v>VND-00276</v>
      </c>
      <c r="B276" s="5">
        <f t="shared" ca="1" si="117"/>
        <v>45475</v>
      </c>
      <c r="C276" s="2">
        <f t="shared" ca="1" si="118"/>
        <v>2024</v>
      </c>
      <c r="D276" s="2" t="str">
        <f t="shared" ca="1" si="119"/>
        <v>julho</v>
      </c>
      <c r="E276" s="2" t="str">
        <f t="shared" ca="1" si="120"/>
        <v>2024/07</v>
      </c>
      <c r="F276" s="14" t="str">
        <f t="shared" ca="1" si="121"/>
        <v>CLI-8900</v>
      </c>
      <c r="G276" s="2" t="str">
        <f t="shared" ca="1" si="122"/>
        <v>Juliana</v>
      </c>
      <c r="H276" s="2" t="str">
        <f t="shared" ca="1" si="123"/>
        <v>Novo</v>
      </c>
      <c r="I276" s="2" t="str">
        <f t="shared" ca="1" si="124"/>
        <v>Amanda</v>
      </c>
      <c r="J276" s="14" t="str">
        <f t="shared" ca="1" si="125"/>
        <v>VCL-6706</v>
      </c>
      <c r="K276" s="2" t="str">
        <f t="shared" ca="1" si="126"/>
        <v>HB20</v>
      </c>
      <c r="L276" s="2" t="str">
        <f t="shared" ca="1" si="127"/>
        <v>Hyundai</v>
      </c>
      <c r="M276" s="2" t="str">
        <f t="shared" ca="1" si="128"/>
        <v>Popular</v>
      </c>
      <c r="N276" s="2">
        <f t="shared" ca="1" si="129"/>
        <v>2020</v>
      </c>
      <c r="O276" s="2" t="str">
        <f t="shared" ca="1" si="130"/>
        <v>Online</v>
      </c>
      <c r="P276" s="2" t="str">
        <f t="shared" ca="1" si="131"/>
        <v>Norte</v>
      </c>
      <c r="Q276" s="2" t="str">
        <f t="shared" ca="1" si="132"/>
        <v>PA</v>
      </c>
      <c r="R276" s="2" t="str">
        <f t="shared" ca="1" si="133"/>
        <v>Castanhal</v>
      </c>
      <c r="S276" s="8">
        <f t="shared" ca="1" si="134"/>
        <v>6</v>
      </c>
      <c r="T276" s="10">
        <f t="shared" ca="1" si="135"/>
        <v>190790</v>
      </c>
      <c r="U276" s="10">
        <f t="shared" ca="1" si="136"/>
        <v>162171.5</v>
      </c>
      <c r="V276" s="10">
        <f t="shared" ca="1" si="137"/>
        <v>1144740</v>
      </c>
      <c r="W276" s="10">
        <f t="shared" ca="1" si="138"/>
        <v>973029</v>
      </c>
      <c r="X276" s="10">
        <f t="shared" ca="1" si="139"/>
        <v>171711</v>
      </c>
      <c r="Y276" s="12">
        <f t="shared" ca="1" si="140"/>
        <v>0.15</v>
      </c>
      <c r="Z276" s="2" t="str">
        <f t="shared" ca="1" si="141"/>
        <v>Cancelada</v>
      </c>
      <c r="AA276" s="8">
        <f t="shared" ca="1" si="142"/>
        <v>29</v>
      </c>
      <c r="AB276" s="2">
        <f t="shared" ca="1" si="143"/>
        <v>23</v>
      </c>
      <c r="AC276" s="2">
        <f t="shared" ca="1" si="144"/>
        <v>10</v>
      </c>
    </row>
    <row r="277" spans="1:29" x14ac:dyDescent="0.25">
      <c r="A277" s="14" t="str">
        <f t="shared" si="116"/>
        <v>VND-00277</v>
      </c>
      <c r="B277" s="5">
        <f t="shared" ca="1" si="117"/>
        <v>45278</v>
      </c>
      <c r="C277" s="2">
        <f t="shared" ca="1" si="118"/>
        <v>2023</v>
      </c>
      <c r="D277" s="2" t="str">
        <f t="shared" ca="1" si="119"/>
        <v>dezembro</v>
      </c>
      <c r="E277" s="2" t="str">
        <f t="shared" ca="1" si="120"/>
        <v>2023/12</v>
      </c>
      <c r="F277" s="14" t="str">
        <f t="shared" ca="1" si="121"/>
        <v>CLI-4562</v>
      </c>
      <c r="G277" s="2" t="str">
        <f t="shared" ca="1" si="122"/>
        <v>Maria</v>
      </c>
      <c r="H277" s="2" t="str">
        <f t="shared" ca="1" si="123"/>
        <v>Novo</v>
      </c>
      <c r="I277" s="2" t="str">
        <f t="shared" ca="1" si="124"/>
        <v>Amanda</v>
      </c>
      <c r="J277" s="14" t="str">
        <f t="shared" ca="1" si="125"/>
        <v>VCL-9973</v>
      </c>
      <c r="K277" s="2" t="str">
        <f t="shared" ca="1" si="126"/>
        <v>Corolla</v>
      </c>
      <c r="L277" s="2" t="str">
        <f t="shared" ca="1" si="127"/>
        <v>Toyota</v>
      </c>
      <c r="M277" s="2" t="str">
        <f t="shared" ca="1" si="128"/>
        <v>SUV</v>
      </c>
      <c r="N277" s="2">
        <f t="shared" ca="1" si="129"/>
        <v>2021</v>
      </c>
      <c r="O277" s="2" t="str">
        <f t="shared" ca="1" si="130"/>
        <v>Loja</v>
      </c>
      <c r="P277" s="2" t="str">
        <f t="shared" ca="1" si="131"/>
        <v>Norte</v>
      </c>
      <c r="Q277" s="2" t="str">
        <f t="shared" ca="1" si="132"/>
        <v>PA</v>
      </c>
      <c r="R277" s="2" t="str">
        <f t="shared" ca="1" si="133"/>
        <v>Ananindeua</v>
      </c>
      <c r="S277" s="8">
        <f t="shared" ca="1" si="134"/>
        <v>3</v>
      </c>
      <c r="T277" s="10">
        <f t="shared" ca="1" si="135"/>
        <v>189404</v>
      </c>
      <c r="U277" s="10">
        <f t="shared" ca="1" si="136"/>
        <v>155311.28</v>
      </c>
      <c r="V277" s="10">
        <f t="shared" ca="1" si="137"/>
        <v>568212</v>
      </c>
      <c r="W277" s="10">
        <f t="shared" ca="1" si="138"/>
        <v>465933.83999999997</v>
      </c>
      <c r="X277" s="10">
        <f t="shared" ca="1" si="139"/>
        <v>102278.16000000003</v>
      </c>
      <c r="Y277" s="12">
        <f t="shared" ca="1" si="140"/>
        <v>0.18000000000000005</v>
      </c>
      <c r="Z277" s="2" t="str">
        <f t="shared" ca="1" si="141"/>
        <v>Concluída</v>
      </c>
      <c r="AA277" s="8">
        <f t="shared" ca="1" si="142"/>
        <v>23</v>
      </c>
      <c r="AB277" s="2">
        <f t="shared" ca="1" si="143"/>
        <v>9</v>
      </c>
      <c r="AC277" s="2">
        <f t="shared" ca="1" si="144"/>
        <v>7</v>
      </c>
    </row>
    <row r="278" spans="1:29" x14ac:dyDescent="0.25">
      <c r="A278" s="14" t="str">
        <f t="shared" si="116"/>
        <v>VND-00278</v>
      </c>
      <c r="B278" s="5">
        <f t="shared" ca="1" si="117"/>
        <v>45034</v>
      </c>
      <c r="C278" s="2">
        <f t="shared" ca="1" si="118"/>
        <v>2023</v>
      </c>
      <c r="D278" s="2" t="str">
        <f t="shared" ca="1" si="119"/>
        <v>abril</v>
      </c>
      <c r="E278" s="2" t="str">
        <f t="shared" ca="1" si="120"/>
        <v>2023/04</v>
      </c>
      <c r="F278" s="14" t="str">
        <f t="shared" ca="1" si="121"/>
        <v>CLI-3905</v>
      </c>
      <c r="G278" s="2" t="str">
        <f t="shared" ca="1" si="122"/>
        <v>Fernanda</v>
      </c>
      <c r="H278" s="2" t="str">
        <f t="shared" ca="1" si="123"/>
        <v>Recorrente</v>
      </c>
      <c r="I278" s="2" t="str">
        <f t="shared" ca="1" si="124"/>
        <v>Carla</v>
      </c>
      <c r="J278" s="14" t="str">
        <f t="shared" ca="1" si="125"/>
        <v>VCL-1968</v>
      </c>
      <c r="K278" s="2" t="str">
        <f t="shared" ca="1" si="126"/>
        <v>Civic</v>
      </c>
      <c r="L278" s="2" t="str">
        <f t="shared" ca="1" si="127"/>
        <v>Honda</v>
      </c>
      <c r="M278" s="2" t="str">
        <f t="shared" ca="1" si="128"/>
        <v>SUV</v>
      </c>
      <c r="N278" s="2">
        <f t="shared" ca="1" si="129"/>
        <v>2024</v>
      </c>
      <c r="O278" s="2" t="str">
        <f t="shared" ca="1" si="130"/>
        <v>Loja</v>
      </c>
      <c r="P278" s="2" t="str">
        <f t="shared" ca="1" si="131"/>
        <v>Sul</v>
      </c>
      <c r="Q278" s="2" t="str">
        <f t="shared" ca="1" si="132"/>
        <v>SC</v>
      </c>
      <c r="R278" s="2" t="str">
        <f t="shared" ca="1" si="133"/>
        <v>Florianópolis</v>
      </c>
      <c r="S278" s="8">
        <f t="shared" ca="1" si="134"/>
        <v>10</v>
      </c>
      <c r="T278" s="10">
        <f t="shared" ca="1" si="135"/>
        <v>111637</v>
      </c>
      <c r="U278" s="10">
        <f t="shared" ca="1" si="136"/>
        <v>82611.38</v>
      </c>
      <c r="V278" s="10">
        <f t="shared" ca="1" si="137"/>
        <v>1116370</v>
      </c>
      <c r="W278" s="10">
        <f t="shared" ca="1" si="138"/>
        <v>826113.8</v>
      </c>
      <c r="X278" s="10">
        <f t="shared" ca="1" si="139"/>
        <v>290256.19999999995</v>
      </c>
      <c r="Y278" s="12">
        <f t="shared" ca="1" si="140"/>
        <v>0.25999999999999995</v>
      </c>
      <c r="Z278" s="2" t="str">
        <f t="shared" ca="1" si="141"/>
        <v>Cancelada</v>
      </c>
      <c r="AA278" s="8">
        <f t="shared" ca="1" si="142"/>
        <v>22</v>
      </c>
      <c r="AB278" s="2">
        <f t="shared" ca="1" si="143"/>
        <v>11</v>
      </c>
      <c r="AC278" s="2">
        <f t="shared" ca="1" si="144"/>
        <v>7</v>
      </c>
    </row>
    <row r="279" spans="1:29" x14ac:dyDescent="0.25">
      <c r="A279" s="14" t="str">
        <f t="shared" si="116"/>
        <v>VND-00279</v>
      </c>
      <c r="B279" s="5">
        <f t="shared" ca="1" si="117"/>
        <v>45836</v>
      </c>
      <c r="C279" s="2">
        <f t="shared" ca="1" si="118"/>
        <v>2025</v>
      </c>
      <c r="D279" s="2" t="str">
        <f t="shared" ca="1" si="119"/>
        <v>junho</v>
      </c>
      <c r="E279" s="2" t="str">
        <f t="shared" ca="1" si="120"/>
        <v>2025/06</v>
      </c>
      <c r="F279" s="14" t="str">
        <f t="shared" ca="1" si="121"/>
        <v>CLI-9005</v>
      </c>
      <c r="G279" s="2" t="str">
        <f t="shared" ca="1" si="122"/>
        <v>Maria</v>
      </c>
      <c r="H279" s="2" t="str">
        <f t="shared" ca="1" si="123"/>
        <v>Novo</v>
      </c>
      <c r="I279" s="2" t="str">
        <f t="shared" ca="1" si="124"/>
        <v>Lucas</v>
      </c>
      <c r="J279" s="14" t="str">
        <f t="shared" ca="1" si="125"/>
        <v>VCL-9022</v>
      </c>
      <c r="K279" s="2" t="str">
        <f t="shared" ca="1" si="126"/>
        <v>Onix</v>
      </c>
      <c r="L279" s="2" t="str">
        <f t="shared" ca="1" si="127"/>
        <v>Chevrolet</v>
      </c>
      <c r="M279" s="2" t="str">
        <f t="shared" ca="1" si="128"/>
        <v>Popular</v>
      </c>
      <c r="N279" s="2">
        <f t="shared" ca="1" si="129"/>
        <v>2023</v>
      </c>
      <c r="O279" s="2" t="str">
        <f t="shared" ca="1" si="130"/>
        <v>Loja</v>
      </c>
      <c r="P279" s="2" t="str">
        <f t="shared" ca="1" si="131"/>
        <v>Sudeste</v>
      </c>
      <c r="Q279" s="2" t="str">
        <f t="shared" ca="1" si="132"/>
        <v>RJ</v>
      </c>
      <c r="R279" s="2" t="str">
        <f t="shared" ca="1" si="133"/>
        <v>Petrópolis</v>
      </c>
      <c r="S279" s="8">
        <f t="shared" ca="1" si="134"/>
        <v>8</v>
      </c>
      <c r="T279" s="10">
        <f t="shared" ca="1" si="135"/>
        <v>145708</v>
      </c>
      <c r="U279" s="10">
        <f t="shared" ca="1" si="136"/>
        <v>109281</v>
      </c>
      <c r="V279" s="10">
        <f t="shared" ca="1" si="137"/>
        <v>1165664</v>
      </c>
      <c r="W279" s="10">
        <f t="shared" ca="1" si="138"/>
        <v>874248</v>
      </c>
      <c r="X279" s="10">
        <f t="shared" ca="1" si="139"/>
        <v>291416</v>
      </c>
      <c r="Y279" s="12">
        <f t="shared" ca="1" si="140"/>
        <v>0.25</v>
      </c>
      <c r="Z279" s="2" t="str">
        <f t="shared" ca="1" si="141"/>
        <v>Em negociação</v>
      </c>
      <c r="AA279" s="8">
        <f t="shared" ca="1" si="142"/>
        <v>1</v>
      </c>
      <c r="AB279" s="2">
        <f t="shared" ca="1" si="143"/>
        <v>16</v>
      </c>
      <c r="AC279" s="2">
        <f t="shared" ca="1" si="144"/>
        <v>10</v>
      </c>
    </row>
    <row r="280" spans="1:29" x14ac:dyDescent="0.25">
      <c r="A280" s="14" t="str">
        <f t="shared" si="116"/>
        <v>VND-00280</v>
      </c>
      <c r="B280" s="5">
        <f t="shared" ca="1" si="117"/>
        <v>45623</v>
      </c>
      <c r="C280" s="2">
        <f t="shared" ca="1" si="118"/>
        <v>2024</v>
      </c>
      <c r="D280" s="2" t="str">
        <f t="shared" ca="1" si="119"/>
        <v>novembro</v>
      </c>
      <c r="E280" s="2" t="str">
        <f t="shared" ca="1" si="120"/>
        <v>2024/11</v>
      </c>
      <c r="F280" s="14" t="str">
        <f t="shared" ca="1" si="121"/>
        <v>CLI-7461</v>
      </c>
      <c r="G280" s="2" t="str">
        <f t="shared" ca="1" si="122"/>
        <v>Ana</v>
      </c>
      <c r="H280" s="2" t="str">
        <f t="shared" ca="1" si="123"/>
        <v>Novo</v>
      </c>
      <c r="I280" s="2" t="str">
        <f t="shared" ca="1" si="124"/>
        <v>Bruno</v>
      </c>
      <c r="J280" s="14" t="str">
        <f t="shared" ca="1" si="125"/>
        <v>VCL-2692</v>
      </c>
      <c r="K280" s="2" t="str">
        <f t="shared" ca="1" si="126"/>
        <v>Civic</v>
      </c>
      <c r="L280" s="2" t="str">
        <f t="shared" ca="1" si="127"/>
        <v>Honda</v>
      </c>
      <c r="M280" s="2" t="str">
        <f t="shared" ca="1" si="128"/>
        <v>SUV</v>
      </c>
      <c r="N280" s="2">
        <f t="shared" ca="1" si="129"/>
        <v>2023</v>
      </c>
      <c r="O280" s="2" t="str">
        <f t="shared" ca="1" si="130"/>
        <v>Loja</v>
      </c>
      <c r="P280" s="2" t="str">
        <f t="shared" ca="1" si="131"/>
        <v>Sul</v>
      </c>
      <c r="Q280" s="2" t="str">
        <f t="shared" ca="1" si="132"/>
        <v>RS</v>
      </c>
      <c r="R280" s="2" t="str">
        <f t="shared" ca="1" si="133"/>
        <v>Pelotas</v>
      </c>
      <c r="S280" s="8">
        <f t="shared" ca="1" si="134"/>
        <v>6</v>
      </c>
      <c r="T280" s="10">
        <f t="shared" ca="1" si="135"/>
        <v>87534</v>
      </c>
      <c r="U280" s="10">
        <f t="shared" ca="1" si="136"/>
        <v>63024.479999999996</v>
      </c>
      <c r="V280" s="10">
        <f t="shared" ca="1" si="137"/>
        <v>525204</v>
      </c>
      <c r="W280" s="10">
        <f t="shared" ca="1" si="138"/>
        <v>378146.88</v>
      </c>
      <c r="X280" s="10">
        <f t="shared" ca="1" si="139"/>
        <v>147057.12</v>
      </c>
      <c r="Y280" s="12">
        <f t="shared" ca="1" si="140"/>
        <v>0.27999999999999997</v>
      </c>
      <c r="Z280" s="2" t="str">
        <f t="shared" ca="1" si="141"/>
        <v>Em negociação</v>
      </c>
      <c r="AA280" s="8">
        <f t="shared" ca="1" si="142"/>
        <v>28</v>
      </c>
      <c r="AB280" s="2">
        <f t="shared" ca="1" si="143"/>
        <v>14</v>
      </c>
      <c r="AC280" s="2">
        <f t="shared" ca="1" si="144"/>
        <v>7</v>
      </c>
    </row>
    <row r="281" spans="1:29" x14ac:dyDescent="0.25">
      <c r="A281" s="14" t="str">
        <f t="shared" si="116"/>
        <v>VND-00281</v>
      </c>
      <c r="B281" s="5">
        <f t="shared" ca="1" si="117"/>
        <v>45512</v>
      </c>
      <c r="C281" s="2">
        <f t="shared" ca="1" si="118"/>
        <v>2024</v>
      </c>
      <c r="D281" s="2" t="str">
        <f t="shared" ca="1" si="119"/>
        <v>agosto</v>
      </c>
      <c r="E281" s="2" t="str">
        <f t="shared" ca="1" si="120"/>
        <v>2024/08</v>
      </c>
      <c r="F281" s="14" t="str">
        <f t="shared" ca="1" si="121"/>
        <v>CLI-7992</v>
      </c>
      <c r="G281" s="2" t="str">
        <f t="shared" ca="1" si="122"/>
        <v>Juliana</v>
      </c>
      <c r="H281" s="2" t="str">
        <f t="shared" ca="1" si="123"/>
        <v>Novo</v>
      </c>
      <c r="I281" s="2" t="str">
        <f t="shared" ca="1" si="124"/>
        <v>Bruno</v>
      </c>
      <c r="J281" s="14" t="str">
        <f t="shared" ca="1" si="125"/>
        <v>VCL-7279</v>
      </c>
      <c r="K281" s="2" t="str">
        <f t="shared" ca="1" si="126"/>
        <v>Corolla</v>
      </c>
      <c r="L281" s="2" t="str">
        <f t="shared" ca="1" si="127"/>
        <v>Toyota</v>
      </c>
      <c r="M281" s="2" t="str">
        <f t="shared" ca="1" si="128"/>
        <v>SUV</v>
      </c>
      <c r="N281" s="2">
        <f t="shared" ca="1" si="129"/>
        <v>2021</v>
      </c>
      <c r="O281" s="2" t="str">
        <f t="shared" ca="1" si="130"/>
        <v>Loja</v>
      </c>
      <c r="P281" s="2" t="str">
        <f t="shared" ca="1" si="131"/>
        <v>Sul</v>
      </c>
      <c r="Q281" s="2" t="str">
        <f t="shared" ca="1" si="132"/>
        <v>SC</v>
      </c>
      <c r="R281" s="2" t="str">
        <f t="shared" ca="1" si="133"/>
        <v>Itajaí</v>
      </c>
      <c r="S281" s="8">
        <f t="shared" ca="1" si="134"/>
        <v>4</v>
      </c>
      <c r="T281" s="10">
        <f t="shared" ca="1" si="135"/>
        <v>77289</v>
      </c>
      <c r="U281" s="10">
        <f t="shared" ca="1" si="136"/>
        <v>55648.079999999994</v>
      </c>
      <c r="V281" s="10">
        <f t="shared" ca="1" si="137"/>
        <v>309156</v>
      </c>
      <c r="W281" s="10">
        <f t="shared" ca="1" si="138"/>
        <v>222592.31999999998</v>
      </c>
      <c r="X281" s="10">
        <f t="shared" ca="1" si="139"/>
        <v>86563.680000000022</v>
      </c>
      <c r="Y281" s="12">
        <f t="shared" ca="1" si="140"/>
        <v>0.28000000000000008</v>
      </c>
      <c r="Z281" s="2" t="str">
        <f t="shared" ca="1" si="141"/>
        <v>Em negociação</v>
      </c>
      <c r="AA281" s="8">
        <f t="shared" ca="1" si="142"/>
        <v>7</v>
      </c>
      <c r="AB281" s="2">
        <f t="shared" ca="1" si="143"/>
        <v>18</v>
      </c>
      <c r="AC281" s="2">
        <f t="shared" ca="1" si="144"/>
        <v>7</v>
      </c>
    </row>
    <row r="282" spans="1:29" x14ac:dyDescent="0.25">
      <c r="A282" s="14" t="str">
        <f t="shared" si="116"/>
        <v>VND-00282</v>
      </c>
      <c r="B282" s="5">
        <f t="shared" ca="1" si="117"/>
        <v>44929</v>
      </c>
      <c r="C282" s="2">
        <f t="shared" ca="1" si="118"/>
        <v>2023</v>
      </c>
      <c r="D282" s="2" t="str">
        <f t="shared" ca="1" si="119"/>
        <v>janeiro</v>
      </c>
      <c r="E282" s="2" t="str">
        <f t="shared" ca="1" si="120"/>
        <v>2023/01</v>
      </c>
      <c r="F282" s="14" t="str">
        <f t="shared" ca="1" si="121"/>
        <v>CLI-1751</v>
      </c>
      <c r="G282" s="2" t="str">
        <f t="shared" ca="1" si="122"/>
        <v>Lucas</v>
      </c>
      <c r="H282" s="2" t="str">
        <f t="shared" ca="1" si="123"/>
        <v>Recorrente</v>
      </c>
      <c r="I282" s="2" t="str">
        <f t="shared" ca="1" si="124"/>
        <v>Ana</v>
      </c>
      <c r="J282" s="14" t="str">
        <f t="shared" ca="1" si="125"/>
        <v>VCL-9347</v>
      </c>
      <c r="K282" s="2" t="str">
        <f t="shared" ca="1" si="126"/>
        <v>Onix</v>
      </c>
      <c r="L282" s="2" t="str">
        <f t="shared" ca="1" si="127"/>
        <v>Chevrolet</v>
      </c>
      <c r="M282" s="2" t="str">
        <f t="shared" ca="1" si="128"/>
        <v>Popular</v>
      </c>
      <c r="N282" s="2">
        <f t="shared" ca="1" si="129"/>
        <v>2022</v>
      </c>
      <c r="O282" s="2" t="str">
        <f t="shared" ca="1" si="130"/>
        <v>Online</v>
      </c>
      <c r="P282" s="2" t="str">
        <f t="shared" ca="1" si="131"/>
        <v>Sudeste</v>
      </c>
      <c r="Q282" s="2" t="str">
        <f t="shared" ca="1" si="132"/>
        <v>RJ</v>
      </c>
      <c r="R282" s="2" t="str">
        <f t="shared" ca="1" si="133"/>
        <v>Rio de Janeiro</v>
      </c>
      <c r="S282" s="8">
        <f t="shared" ca="1" si="134"/>
        <v>3</v>
      </c>
      <c r="T282" s="10">
        <f t="shared" ca="1" si="135"/>
        <v>239209</v>
      </c>
      <c r="U282" s="10">
        <f t="shared" ca="1" si="136"/>
        <v>188975.11000000002</v>
      </c>
      <c r="V282" s="10">
        <f t="shared" ca="1" si="137"/>
        <v>717627</v>
      </c>
      <c r="W282" s="10">
        <f t="shared" ca="1" si="138"/>
        <v>566925.33000000007</v>
      </c>
      <c r="X282" s="10">
        <f t="shared" ca="1" si="139"/>
        <v>150701.66999999993</v>
      </c>
      <c r="Y282" s="12">
        <f t="shared" ca="1" si="140"/>
        <v>0.20999999999999991</v>
      </c>
      <c r="Z282" s="2" t="str">
        <f t="shared" ca="1" si="141"/>
        <v>Em negociação</v>
      </c>
      <c r="AA282" s="8">
        <f t="shared" ca="1" si="142"/>
        <v>11</v>
      </c>
      <c r="AB282" s="2">
        <f t="shared" ca="1" si="143"/>
        <v>18</v>
      </c>
      <c r="AC282" s="2">
        <f t="shared" ca="1" si="144"/>
        <v>10</v>
      </c>
    </row>
    <row r="283" spans="1:29" x14ac:dyDescent="0.25">
      <c r="A283" s="14" t="str">
        <f t="shared" si="116"/>
        <v>VND-00283</v>
      </c>
      <c r="B283" s="5">
        <f t="shared" ca="1" si="117"/>
        <v>45436</v>
      </c>
      <c r="C283" s="2">
        <f t="shared" ca="1" si="118"/>
        <v>2024</v>
      </c>
      <c r="D283" s="2" t="str">
        <f t="shared" ca="1" si="119"/>
        <v>maio</v>
      </c>
      <c r="E283" s="2" t="str">
        <f t="shared" ca="1" si="120"/>
        <v>2024/05</v>
      </c>
      <c r="F283" s="14" t="str">
        <f t="shared" ca="1" si="121"/>
        <v>CLI-9488</v>
      </c>
      <c r="G283" s="2" t="str">
        <f t="shared" ca="1" si="122"/>
        <v>Juliana</v>
      </c>
      <c r="H283" s="2" t="str">
        <f t="shared" ca="1" si="123"/>
        <v>Recorrente</v>
      </c>
      <c r="I283" s="2" t="str">
        <f t="shared" ca="1" si="124"/>
        <v>Lucas</v>
      </c>
      <c r="J283" s="14" t="str">
        <f t="shared" ca="1" si="125"/>
        <v>VCL-5076</v>
      </c>
      <c r="K283" s="2" t="str">
        <f t="shared" ca="1" si="126"/>
        <v>BMW X1</v>
      </c>
      <c r="L283" s="2" t="str">
        <f t="shared" ca="1" si="127"/>
        <v>BMW</v>
      </c>
      <c r="M283" s="2" t="str">
        <f t="shared" ca="1" si="128"/>
        <v>Luxo</v>
      </c>
      <c r="N283" s="2">
        <f t="shared" ca="1" si="129"/>
        <v>2023</v>
      </c>
      <c r="O283" s="2" t="str">
        <f t="shared" ca="1" si="130"/>
        <v>Online</v>
      </c>
      <c r="P283" s="2" t="str">
        <f t="shared" ca="1" si="131"/>
        <v>Sudeste</v>
      </c>
      <c r="Q283" s="2" t="str">
        <f t="shared" ca="1" si="132"/>
        <v>ES</v>
      </c>
      <c r="R283" s="2" t="str">
        <f t="shared" ca="1" si="133"/>
        <v>Linhares</v>
      </c>
      <c r="S283" s="8">
        <f t="shared" ca="1" si="134"/>
        <v>2</v>
      </c>
      <c r="T283" s="10">
        <f t="shared" ca="1" si="135"/>
        <v>177350</v>
      </c>
      <c r="U283" s="10">
        <f t="shared" ca="1" si="136"/>
        <v>138333</v>
      </c>
      <c r="V283" s="10">
        <f t="shared" ca="1" si="137"/>
        <v>354700</v>
      </c>
      <c r="W283" s="10">
        <f t="shared" ca="1" si="138"/>
        <v>276666</v>
      </c>
      <c r="X283" s="10">
        <f t="shared" ca="1" si="139"/>
        <v>78034</v>
      </c>
      <c r="Y283" s="12">
        <f t="shared" ca="1" si="140"/>
        <v>0.22</v>
      </c>
      <c r="Z283" s="2" t="str">
        <f t="shared" ca="1" si="141"/>
        <v>Cancelada</v>
      </c>
      <c r="AA283" s="8">
        <f t="shared" ca="1" si="142"/>
        <v>14</v>
      </c>
      <c r="AB283" s="2">
        <f t="shared" ca="1" si="143"/>
        <v>0</v>
      </c>
      <c r="AC283" s="2">
        <f t="shared" ca="1" si="144"/>
        <v>3</v>
      </c>
    </row>
    <row r="284" spans="1:29" x14ac:dyDescent="0.25">
      <c r="A284" s="14" t="str">
        <f t="shared" si="116"/>
        <v>VND-00284</v>
      </c>
      <c r="B284" s="5">
        <f t="shared" ca="1" si="117"/>
        <v>45751</v>
      </c>
      <c r="C284" s="2">
        <f t="shared" ca="1" si="118"/>
        <v>2025</v>
      </c>
      <c r="D284" s="2" t="str">
        <f t="shared" ca="1" si="119"/>
        <v>abril</v>
      </c>
      <c r="E284" s="2" t="str">
        <f t="shared" ca="1" si="120"/>
        <v>2025/04</v>
      </c>
      <c r="F284" s="14" t="str">
        <f t="shared" ca="1" si="121"/>
        <v>CLI-8716</v>
      </c>
      <c r="G284" s="2" t="str">
        <f t="shared" ca="1" si="122"/>
        <v>Rafael</v>
      </c>
      <c r="H284" s="2" t="str">
        <f t="shared" ca="1" si="123"/>
        <v>Novo</v>
      </c>
      <c r="I284" s="2" t="str">
        <f t="shared" ca="1" si="124"/>
        <v>Gustavo</v>
      </c>
      <c r="J284" s="14" t="str">
        <f t="shared" ca="1" si="125"/>
        <v>VCL-3381</v>
      </c>
      <c r="K284" s="2" t="str">
        <f t="shared" ca="1" si="126"/>
        <v>Corolla</v>
      </c>
      <c r="L284" s="2" t="str">
        <f t="shared" ca="1" si="127"/>
        <v>Toyota</v>
      </c>
      <c r="M284" s="2" t="str">
        <f t="shared" ca="1" si="128"/>
        <v>SUV</v>
      </c>
      <c r="N284" s="2">
        <f t="shared" ca="1" si="129"/>
        <v>2022</v>
      </c>
      <c r="O284" s="2" t="str">
        <f t="shared" ca="1" si="130"/>
        <v>Online</v>
      </c>
      <c r="P284" s="2" t="str">
        <f t="shared" ca="1" si="131"/>
        <v>Centro-Oeste</v>
      </c>
      <c r="Q284" s="2" t="str">
        <f t="shared" ca="1" si="132"/>
        <v>GO</v>
      </c>
      <c r="R284" s="2" t="str">
        <f t="shared" ca="1" si="133"/>
        <v>Luziânia</v>
      </c>
      <c r="S284" s="8">
        <f t="shared" ca="1" si="134"/>
        <v>3</v>
      </c>
      <c r="T284" s="10">
        <f t="shared" ca="1" si="135"/>
        <v>74241</v>
      </c>
      <c r="U284" s="10">
        <f t="shared" ca="1" si="136"/>
        <v>61620.03</v>
      </c>
      <c r="V284" s="10">
        <f t="shared" ca="1" si="137"/>
        <v>222723</v>
      </c>
      <c r="W284" s="10">
        <f t="shared" ca="1" si="138"/>
        <v>184860.09</v>
      </c>
      <c r="X284" s="10">
        <f t="shared" ca="1" si="139"/>
        <v>37862.910000000003</v>
      </c>
      <c r="Y284" s="12">
        <f t="shared" ca="1" si="140"/>
        <v>0.17</v>
      </c>
      <c r="Z284" s="2" t="str">
        <f t="shared" ca="1" si="141"/>
        <v>Concluída</v>
      </c>
      <c r="AA284" s="8">
        <f t="shared" ca="1" si="142"/>
        <v>9</v>
      </c>
      <c r="AB284" s="2">
        <f t="shared" ca="1" si="143"/>
        <v>20</v>
      </c>
      <c r="AC284" s="2">
        <f t="shared" ca="1" si="144"/>
        <v>7</v>
      </c>
    </row>
    <row r="285" spans="1:29" x14ac:dyDescent="0.25">
      <c r="A285" s="14" t="str">
        <f t="shared" si="116"/>
        <v>VND-00285</v>
      </c>
      <c r="B285" s="5">
        <f t="shared" ca="1" si="117"/>
        <v>45295</v>
      </c>
      <c r="C285" s="2">
        <f t="shared" ca="1" si="118"/>
        <v>2024</v>
      </c>
      <c r="D285" s="2" t="str">
        <f t="shared" ca="1" si="119"/>
        <v>janeiro</v>
      </c>
      <c r="E285" s="2" t="str">
        <f t="shared" ca="1" si="120"/>
        <v>2024/01</v>
      </c>
      <c r="F285" s="14" t="str">
        <f t="shared" ca="1" si="121"/>
        <v>CLI-6499</v>
      </c>
      <c r="G285" s="2" t="str">
        <f t="shared" ca="1" si="122"/>
        <v>Carlos</v>
      </c>
      <c r="H285" s="2" t="str">
        <f t="shared" ca="1" si="123"/>
        <v>Recorrente</v>
      </c>
      <c r="I285" s="2" t="str">
        <f t="shared" ca="1" si="124"/>
        <v>Patricia</v>
      </c>
      <c r="J285" s="14" t="str">
        <f t="shared" ca="1" si="125"/>
        <v>VCL-3776</v>
      </c>
      <c r="K285" s="2" t="str">
        <f t="shared" ca="1" si="126"/>
        <v>BMW X1</v>
      </c>
      <c r="L285" s="2" t="str">
        <f t="shared" ca="1" si="127"/>
        <v>BMW</v>
      </c>
      <c r="M285" s="2" t="str">
        <f t="shared" ca="1" si="128"/>
        <v>Luxo</v>
      </c>
      <c r="N285" s="2">
        <f t="shared" ca="1" si="129"/>
        <v>2016</v>
      </c>
      <c r="O285" s="2" t="str">
        <f t="shared" ca="1" si="130"/>
        <v>Online</v>
      </c>
      <c r="P285" s="2" t="str">
        <f t="shared" ca="1" si="131"/>
        <v>Nordeste</v>
      </c>
      <c r="Q285" s="2" t="str">
        <f t="shared" ca="1" si="132"/>
        <v>CE</v>
      </c>
      <c r="R285" s="2" t="str">
        <f t="shared" ca="1" si="133"/>
        <v>Fortaleza</v>
      </c>
      <c r="S285" s="8">
        <f t="shared" ca="1" si="134"/>
        <v>7</v>
      </c>
      <c r="T285" s="10">
        <f t="shared" ca="1" si="135"/>
        <v>82016</v>
      </c>
      <c r="U285" s="10">
        <f t="shared" ca="1" si="136"/>
        <v>60691.839999999997</v>
      </c>
      <c r="V285" s="10">
        <f t="shared" ca="1" si="137"/>
        <v>574112</v>
      </c>
      <c r="W285" s="10">
        <f t="shared" ca="1" si="138"/>
        <v>424842.88</v>
      </c>
      <c r="X285" s="10">
        <f t="shared" ca="1" si="139"/>
        <v>149269.12</v>
      </c>
      <c r="Y285" s="12">
        <f t="shared" ca="1" si="140"/>
        <v>0.26</v>
      </c>
      <c r="Z285" s="2" t="str">
        <f t="shared" ca="1" si="141"/>
        <v>Concluída</v>
      </c>
      <c r="AA285" s="8">
        <f t="shared" ca="1" si="142"/>
        <v>20</v>
      </c>
      <c r="AB285" s="2">
        <f t="shared" ca="1" si="143"/>
        <v>8</v>
      </c>
      <c r="AC285" s="2">
        <f t="shared" ca="1" si="144"/>
        <v>3</v>
      </c>
    </row>
    <row r="286" spans="1:29" x14ac:dyDescent="0.25">
      <c r="A286" s="14" t="str">
        <f t="shared" si="116"/>
        <v>VND-00286</v>
      </c>
      <c r="B286" s="5">
        <f t="shared" ca="1" si="117"/>
        <v>45968</v>
      </c>
      <c r="C286" s="2">
        <f t="shared" ca="1" si="118"/>
        <v>2025</v>
      </c>
      <c r="D286" s="2" t="str">
        <f t="shared" ca="1" si="119"/>
        <v>novembro</v>
      </c>
      <c r="E286" s="2" t="str">
        <f t="shared" ca="1" si="120"/>
        <v>2025/11</v>
      </c>
      <c r="F286" s="14" t="str">
        <f t="shared" ca="1" si="121"/>
        <v>CLI-7953</v>
      </c>
      <c r="G286" s="2" t="str">
        <f t="shared" ca="1" si="122"/>
        <v>Rafael</v>
      </c>
      <c r="H286" s="2" t="str">
        <f t="shared" ca="1" si="123"/>
        <v>Novo</v>
      </c>
      <c r="I286" s="2" t="str">
        <f t="shared" ca="1" si="124"/>
        <v>Marcos</v>
      </c>
      <c r="J286" s="14" t="str">
        <f t="shared" ca="1" si="125"/>
        <v>VCL-5164</v>
      </c>
      <c r="K286" s="2" t="str">
        <f t="shared" ca="1" si="126"/>
        <v>HB20</v>
      </c>
      <c r="L286" s="2" t="str">
        <f t="shared" ca="1" si="127"/>
        <v>Hyundai</v>
      </c>
      <c r="M286" s="2" t="str">
        <f t="shared" ca="1" si="128"/>
        <v>Popular</v>
      </c>
      <c r="N286" s="2">
        <f t="shared" ca="1" si="129"/>
        <v>2018</v>
      </c>
      <c r="O286" s="2" t="str">
        <f t="shared" ca="1" si="130"/>
        <v>Online</v>
      </c>
      <c r="P286" s="2" t="str">
        <f t="shared" ca="1" si="131"/>
        <v>Sul</v>
      </c>
      <c r="Q286" s="2" t="str">
        <f t="shared" ca="1" si="132"/>
        <v>PR</v>
      </c>
      <c r="R286" s="2" t="str">
        <f t="shared" ca="1" si="133"/>
        <v>Londrina</v>
      </c>
      <c r="S286" s="8">
        <f t="shared" ca="1" si="134"/>
        <v>7</v>
      </c>
      <c r="T286" s="10">
        <f t="shared" ca="1" si="135"/>
        <v>154948</v>
      </c>
      <c r="U286" s="10">
        <f t="shared" ca="1" si="136"/>
        <v>128606.84</v>
      </c>
      <c r="V286" s="10">
        <f t="shared" ca="1" si="137"/>
        <v>1084636</v>
      </c>
      <c r="W286" s="10">
        <f t="shared" ca="1" si="138"/>
        <v>900247.88</v>
      </c>
      <c r="X286" s="10">
        <f t="shared" ca="1" si="139"/>
        <v>184388.12</v>
      </c>
      <c r="Y286" s="12">
        <f t="shared" ca="1" si="140"/>
        <v>0.16999999999999998</v>
      </c>
      <c r="Z286" s="2" t="str">
        <f t="shared" ca="1" si="141"/>
        <v>Em negociação</v>
      </c>
      <c r="AA286" s="8">
        <f t="shared" ca="1" si="142"/>
        <v>25</v>
      </c>
      <c r="AB286" s="2">
        <f t="shared" ca="1" si="143"/>
        <v>10</v>
      </c>
      <c r="AC286" s="2">
        <f t="shared" ca="1" si="144"/>
        <v>10</v>
      </c>
    </row>
    <row r="287" spans="1:29" x14ac:dyDescent="0.25">
      <c r="A287" s="14" t="str">
        <f t="shared" si="116"/>
        <v>VND-00287</v>
      </c>
      <c r="B287" s="5">
        <f t="shared" ca="1" si="117"/>
        <v>44989</v>
      </c>
      <c r="C287" s="2">
        <f t="shared" ca="1" si="118"/>
        <v>2023</v>
      </c>
      <c r="D287" s="2" t="str">
        <f t="shared" ca="1" si="119"/>
        <v>março</v>
      </c>
      <c r="E287" s="2" t="str">
        <f t="shared" ca="1" si="120"/>
        <v>2023/03</v>
      </c>
      <c r="F287" s="14" t="str">
        <f t="shared" ca="1" si="121"/>
        <v>CLI-6941</v>
      </c>
      <c r="G287" s="2" t="str">
        <f t="shared" ca="1" si="122"/>
        <v>Rafael</v>
      </c>
      <c r="H287" s="2" t="str">
        <f t="shared" ca="1" si="123"/>
        <v>Novo</v>
      </c>
      <c r="I287" s="2" t="str">
        <f t="shared" ca="1" si="124"/>
        <v>Maria</v>
      </c>
      <c r="J287" s="14" t="str">
        <f t="shared" ca="1" si="125"/>
        <v>VCL-2774</v>
      </c>
      <c r="K287" s="2" t="str">
        <f t="shared" ca="1" si="126"/>
        <v>HB20</v>
      </c>
      <c r="L287" s="2" t="str">
        <f t="shared" ca="1" si="127"/>
        <v>Hyundai</v>
      </c>
      <c r="M287" s="2" t="str">
        <f t="shared" ca="1" si="128"/>
        <v>Popular</v>
      </c>
      <c r="N287" s="2">
        <f t="shared" ca="1" si="129"/>
        <v>2018</v>
      </c>
      <c r="O287" s="2" t="str">
        <f t="shared" ca="1" si="130"/>
        <v>Loja</v>
      </c>
      <c r="P287" s="2" t="str">
        <f t="shared" ca="1" si="131"/>
        <v>Sudeste</v>
      </c>
      <c r="Q287" s="2" t="str">
        <f t="shared" ca="1" si="132"/>
        <v>MG</v>
      </c>
      <c r="R287" s="2" t="str">
        <f t="shared" ca="1" si="133"/>
        <v>Belo Horizonte</v>
      </c>
      <c r="S287" s="8">
        <f t="shared" ca="1" si="134"/>
        <v>7</v>
      </c>
      <c r="T287" s="10">
        <f t="shared" ca="1" si="135"/>
        <v>184771</v>
      </c>
      <c r="U287" s="10">
        <f t="shared" ca="1" si="136"/>
        <v>129339.7</v>
      </c>
      <c r="V287" s="10">
        <f t="shared" ca="1" si="137"/>
        <v>1293397</v>
      </c>
      <c r="W287" s="10">
        <f t="shared" ca="1" si="138"/>
        <v>905377.9</v>
      </c>
      <c r="X287" s="10">
        <f t="shared" ca="1" si="139"/>
        <v>388019.1</v>
      </c>
      <c r="Y287" s="12">
        <f t="shared" ca="1" si="140"/>
        <v>0.3</v>
      </c>
      <c r="Z287" s="2" t="str">
        <f t="shared" ca="1" si="141"/>
        <v>Em negociação</v>
      </c>
      <c r="AA287" s="8">
        <f t="shared" ca="1" si="142"/>
        <v>6</v>
      </c>
      <c r="AB287" s="2">
        <f t="shared" ca="1" si="143"/>
        <v>13</v>
      </c>
      <c r="AC287" s="2">
        <f t="shared" ca="1" si="144"/>
        <v>10</v>
      </c>
    </row>
    <row r="288" spans="1:29" x14ac:dyDescent="0.25">
      <c r="A288" s="14" t="str">
        <f t="shared" si="116"/>
        <v>VND-00288</v>
      </c>
      <c r="B288" s="5">
        <f t="shared" ca="1" si="117"/>
        <v>45632</v>
      </c>
      <c r="C288" s="2">
        <f t="shared" ca="1" si="118"/>
        <v>2024</v>
      </c>
      <c r="D288" s="2" t="str">
        <f t="shared" ca="1" si="119"/>
        <v>dezembro</v>
      </c>
      <c r="E288" s="2" t="str">
        <f t="shared" ca="1" si="120"/>
        <v>2024/12</v>
      </c>
      <c r="F288" s="14" t="str">
        <f t="shared" ca="1" si="121"/>
        <v>CLI-3709</v>
      </c>
      <c r="G288" s="2" t="str">
        <f t="shared" ca="1" si="122"/>
        <v>Maria</v>
      </c>
      <c r="H288" s="2" t="str">
        <f t="shared" ca="1" si="123"/>
        <v>Novo</v>
      </c>
      <c r="I288" s="2" t="str">
        <f t="shared" ca="1" si="124"/>
        <v>Fernanda</v>
      </c>
      <c r="J288" s="14" t="str">
        <f t="shared" ca="1" si="125"/>
        <v>VCL-7572</v>
      </c>
      <c r="K288" s="2" t="str">
        <f t="shared" ca="1" si="126"/>
        <v>Onix</v>
      </c>
      <c r="L288" s="2" t="str">
        <f t="shared" ca="1" si="127"/>
        <v>Chevrolet</v>
      </c>
      <c r="M288" s="2" t="str">
        <f t="shared" ca="1" si="128"/>
        <v>Popular</v>
      </c>
      <c r="N288" s="2">
        <f t="shared" ca="1" si="129"/>
        <v>2017</v>
      </c>
      <c r="O288" s="2" t="str">
        <f t="shared" ca="1" si="130"/>
        <v>Loja</v>
      </c>
      <c r="P288" s="2" t="str">
        <f t="shared" ca="1" si="131"/>
        <v>Nordeste</v>
      </c>
      <c r="Q288" s="2" t="str">
        <f t="shared" ca="1" si="132"/>
        <v>PE</v>
      </c>
      <c r="R288" s="2" t="str">
        <f t="shared" ca="1" si="133"/>
        <v>Caruaru</v>
      </c>
      <c r="S288" s="8">
        <f t="shared" ca="1" si="134"/>
        <v>2</v>
      </c>
      <c r="T288" s="10">
        <f t="shared" ca="1" si="135"/>
        <v>146269</v>
      </c>
      <c r="U288" s="10">
        <f t="shared" ca="1" si="136"/>
        <v>115552.51000000001</v>
      </c>
      <c r="V288" s="10">
        <f t="shared" ca="1" si="137"/>
        <v>292538</v>
      </c>
      <c r="W288" s="10">
        <f t="shared" ca="1" si="138"/>
        <v>231105.02000000002</v>
      </c>
      <c r="X288" s="10">
        <f t="shared" ca="1" si="139"/>
        <v>61432.979999999981</v>
      </c>
      <c r="Y288" s="12">
        <f t="shared" ca="1" si="140"/>
        <v>0.20999999999999994</v>
      </c>
      <c r="Z288" s="2" t="str">
        <f t="shared" ca="1" si="141"/>
        <v>Em negociação</v>
      </c>
      <c r="AA288" s="8">
        <f t="shared" ca="1" si="142"/>
        <v>18</v>
      </c>
      <c r="AB288" s="2">
        <f t="shared" ca="1" si="143"/>
        <v>23</v>
      </c>
      <c r="AC288" s="2">
        <f t="shared" ca="1" si="144"/>
        <v>10</v>
      </c>
    </row>
    <row r="289" spans="1:29" x14ac:dyDescent="0.25">
      <c r="A289" s="14" t="str">
        <f t="shared" si="116"/>
        <v>VND-00289</v>
      </c>
      <c r="B289" s="5">
        <f t="shared" ca="1" si="117"/>
        <v>45644</v>
      </c>
      <c r="C289" s="2">
        <f t="shared" ca="1" si="118"/>
        <v>2024</v>
      </c>
      <c r="D289" s="2" t="str">
        <f t="shared" ca="1" si="119"/>
        <v>dezembro</v>
      </c>
      <c r="E289" s="2" t="str">
        <f t="shared" ca="1" si="120"/>
        <v>2024/12</v>
      </c>
      <c r="F289" s="14" t="str">
        <f t="shared" ca="1" si="121"/>
        <v>CLI-1472</v>
      </c>
      <c r="G289" s="2" t="str">
        <f t="shared" ca="1" si="122"/>
        <v>Ana</v>
      </c>
      <c r="H289" s="2" t="str">
        <f t="shared" ca="1" si="123"/>
        <v>Novo</v>
      </c>
      <c r="I289" s="2" t="str">
        <f t="shared" ca="1" si="124"/>
        <v>Marcos</v>
      </c>
      <c r="J289" s="14" t="str">
        <f t="shared" ca="1" si="125"/>
        <v>VCL-6004</v>
      </c>
      <c r="K289" s="2" t="str">
        <f t="shared" ca="1" si="126"/>
        <v>Compass</v>
      </c>
      <c r="L289" s="2" t="str">
        <f t="shared" ca="1" si="127"/>
        <v>Jeep</v>
      </c>
      <c r="M289" s="2" t="str">
        <f t="shared" ca="1" si="128"/>
        <v>SUV</v>
      </c>
      <c r="N289" s="2">
        <f t="shared" ca="1" si="129"/>
        <v>2023</v>
      </c>
      <c r="O289" s="2" t="str">
        <f t="shared" ca="1" si="130"/>
        <v>Loja</v>
      </c>
      <c r="P289" s="2" t="str">
        <f t="shared" ca="1" si="131"/>
        <v>Sul</v>
      </c>
      <c r="Q289" s="2" t="str">
        <f t="shared" ca="1" si="132"/>
        <v>PR</v>
      </c>
      <c r="R289" s="2" t="str">
        <f t="shared" ca="1" si="133"/>
        <v>Cascavel</v>
      </c>
      <c r="S289" s="8">
        <f t="shared" ca="1" si="134"/>
        <v>10</v>
      </c>
      <c r="T289" s="10">
        <f t="shared" ca="1" si="135"/>
        <v>101143</v>
      </c>
      <c r="U289" s="10">
        <f t="shared" ca="1" si="136"/>
        <v>78891.540000000008</v>
      </c>
      <c r="V289" s="10">
        <f t="shared" ca="1" si="137"/>
        <v>1011430</v>
      </c>
      <c r="W289" s="10">
        <f t="shared" ca="1" si="138"/>
        <v>788915.40000000014</v>
      </c>
      <c r="X289" s="10">
        <f t="shared" ca="1" si="139"/>
        <v>222514.59999999986</v>
      </c>
      <c r="Y289" s="12">
        <f t="shared" ca="1" si="140"/>
        <v>0.21999999999999986</v>
      </c>
      <c r="Z289" s="2" t="str">
        <f t="shared" ca="1" si="141"/>
        <v>Cancelada</v>
      </c>
      <c r="AA289" s="8">
        <f t="shared" ca="1" si="142"/>
        <v>10</v>
      </c>
      <c r="AB289" s="2">
        <f t="shared" ca="1" si="143"/>
        <v>11</v>
      </c>
      <c r="AC289" s="2">
        <f t="shared" ca="1" si="144"/>
        <v>7</v>
      </c>
    </row>
    <row r="290" spans="1:29" x14ac:dyDescent="0.25">
      <c r="A290" s="14" t="str">
        <f t="shared" si="116"/>
        <v>VND-00290</v>
      </c>
      <c r="B290" s="5">
        <f t="shared" ca="1" si="117"/>
        <v>45338</v>
      </c>
      <c r="C290" s="2">
        <f t="shared" ca="1" si="118"/>
        <v>2024</v>
      </c>
      <c r="D290" s="2" t="str">
        <f t="shared" ca="1" si="119"/>
        <v>fevereiro</v>
      </c>
      <c r="E290" s="2" t="str">
        <f t="shared" ca="1" si="120"/>
        <v>2024/02</v>
      </c>
      <c r="F290" s="14" t="str">
        <f t="shared" ca="1" si="121"/>
        <v>CLI-1321</v>
      </c>
      <c r="G290" s="2" t="str">
        <f t="shared" ca="1" si="122"/>
        <v>Lucas</v>
      </c>
      <c r="H290" s="2" t="str">
        <f t="shared" ca="1" si="123"/>
        <v>Novo</v>
      </c>
      <c r="I290" s="2" t="str">
        <f t="shared" ca="1" si="124"/>
        <v>Gustavo</v>
      </c>
      <c r="J290" s="14" t="str">
        <f t="shared" ca="1" si="125"/>
        <v>VCL-3483</v>
      </c>
      <c r="K290" s="2" t="str">
        <f t="shared" ca="1" si="126"/>
        <v>HB20</v>
      </c>
      <c r="L290" s="2" t="str">
        <f t="shared" ca="1" si="127"/>
        <v>Hyundai</v>
      </c>
      <c r="M290" s="2" t="str">
        <f t="shared" ca="1" si="128"/>
        <v>Popular</v>
      </c>
      <c r="N290" s="2">
        <f t="shared" ca="1" si="129"/>
        <v>2023</v>
      </c>
      <c r="O290" s="2" t="str">
        <f t="shared" ca="1" si="130"/>
        <v>Loja</v>
      </c>
      <c r="P290" s="2" t="str">
        <f t="shared" ca="1" si="131"/>
        <v>Centro-Oeste</v>
      </c>
      <c r="Q290" s="2" t="str">
        <f t="shared" ca="1" si="132"/>
        <v>MT</v>
      </c>
      <c r="R290" s="2" t="str">
        <f t="shared" ca="1" si="133"/>
        <v>Sinop</v>
      </c>
      <c r="S290" s="8">
        <f t="shared" ca="1" si="134"/>
        <v>9</v>
      </c>
      <c r="T290" s="10">
        <f t="shared" ca="1" si="135"/>
        <v>120220</v>
      </c>
      <c r="U290" s="10">
        <f t="shared" ca="1" si="136"/>
        <v>84154</v>
      </c>
      <c r="V290" s="10">
        <f t="shared" ca="1" si="137"/>
        <v>1081980</v>
      </c>
      <c r="W290" s="10">
        <f t="shared" ca="1" si="138"/>
        <v>757386</v>
      </c>
      <c r="X290" s="10">
        <f t="shared" ca="1" si="139"/>
        <v>324594</v>
      </c>
      <c r="Y290" s="12">
        <f t="shared" ca="1" si="140"/>
        <v>0.3</v>
      </c>
      <c r="Z290" s="2" t="str">
        <f t="shared" ca="1" si="141"/>
        <v>Cancelada</v>
      </c>
      <c r="AA290" s="8">
        <f t="shared" ca="1" si="142"/>
        <v>1</v>
      </c>
      <c r="AB290" s="2">
        <f t="shared" ca="1" si="143"/>
        <v>19</v>
      </c>
      <c r="AC290" s="2">
        <f t="shared" ca="1" si="144"/>
        <v>10</v>
      </c>
    </row>
    <row r="291" spans="1:29" x14ac:dyDescent="0.25">
      <c r="A291" s="14" t="str">
        <f t="shared" si="116"/>
        <v>VND-00291</v>
      </c>
      <c r="B291" s="5">
        <f t="shared" ca="1" si="117"/>
        <v>45516</v>
      </c>
      <c r="C291" s="2">
        <f t="shared" ca="1" si="118"/>
        <v>2024</v>
      </c>
      <c r="D291" s="2" t="str">
        <f t="shared" ca="1" si="119"/>
        <v>agosto</v>
      </c>
      <c r="E291" s="2" t="str">
        <f t="shared" ca="1" si="120"/>
        <v>2024/08</v>
      </c>
      <c r="F291" s="14" t="str">
        <f t="shared" ca="1" si="121"/>
        <v>CLI-7104</v>
      </c>
      <c r="G291" s="2" t="str">
        <f t="shared" ca="1" si="122"/>
        <v>Fernanda</v>
      </c>
      <c r="H291" s="2" t="str">
        <f t="shared" ca="1" si="123"/>
        <v>Recorrente</v>
      </c>
      <c r="I291" s="2" t="str">
        <f t="shared" ca="1" si="124"/>
        <v>Rafael</v>
      </c>
      <c r="J291" s="14" t="str">
        <f t="shared" ca="1" si="125"/>
        <v>VCL-6139</v>
      </c>
      <c r="K291" s="2" t="str">
        <f t="shared" ca="1" si="126"/>
        <v>Civic</v>
      </c>
      <c r="L291" s="2" t="str">
        <f t="shared" ca="1" si="127"/>
        <v>Honda</v>
      </c>
      <c r="M291" s="2" t="str">
        <f t="shared" ca="1" si="128"/>
        <v>SUV</v>
      </c>
      <c r="N291" s="2">
        <f t="shared" ca="1" si="129"/>
        <v>2023</v>
      </c>
      <c r="O291" s="2" t="str">
        <f t="shared" ca="1" si="130"/>
        <v>Loja</v>
      </c>
      <c r="P291" s="2" t="str">
        <f t="shared" ca="1" si="131"/>
        <v>Sul</v>
      </c>
      <c r="Q291" s="2" t="str">
        <f t="shared" ca="1" si="132"/>
        <v>RS</v>
      </c>
      <c r="R291" s="2" t="str">
        <f t="shared" ca="1" si="133"/>
        <v>Santa Maria</v>
      </c>
      <c r="S291" s="8">
        <f t="shared" ca="1" si="134"/>
        <v>1</v>
      </c>
      <c r="T291" s="10">
        <f t="shared" ca="1" si="135"/>
        <v>87427</v>
      </c>
      <c r="U291" s="10">
        <f t="shared" ca="1" si="136"/>
        <v>69067.33</v>
      </c>
      <c r="V291" s="10">
        <f t="shared" ca="1" si="137"/>
        <v>87427</v>
      </c>
      <c r="W291" s="10">
        <f t="shared" ca="1" si="138"/>
        <v>69067.33</v>
      </c>
      <c r="X291" s="10">
        <f t="shared" ca="1" si="139"/>
        <v>18359.669999999998</v>
      </c>
      <c r="Y291" s="12">
        <f t="shared" ca="1" si="140"/>
        <v>0.21</v>
      </c>
      <c r="Z291" s="2" t="str">
        <f t="shared" ca="1" si="141"/>
        <v>Cancelada</v>
      </c>
      <c r="AA291" s="8">
        <f t="shared" ca="1" si="142"/>
        <v>25</v>
      </c>
      <c r="AB291" s="2">
        <f t="shared" ca="1" si="143"/>
        <v>7</v>
      </c>
      <c r="AC291" s="2">
        <f t="shared" ca="1" si="144"/>
        <v>7</v>
      </c>
    </row>
    <row r="292" spans="1:29" x14ac:dyDescent="0.25">
      <c r="A292" s="14" t="str">
        <f t="shared" si="116"/>
        <v>VND-00292</v>
      </c>
      <c r="B292" s="5">
        <f t="shared" ca="1" si="117"/>
        <v>45166</v>
      </c>
      <c r="C292" s="2">
        <f t="shared" ca="1" si="118"/>
        <v>2023</v>
      </c>
      <c r="D292" s="2" t="str">
        <f t="shared" ca="1" si="119"/>
        <v>agosto</v>
      </c>
      <c r="E292" s="2" t="str">
        <f t="shared" ca="1" si="120"/>
        <v>2023/08</v>
      </c>
      <c r="F292" s="14" t="str">
        <f t="shared" ca="1" si="121"/>
        <v>CLI-4790</v>
      </c>
      <c r="G292" s="2" t="str">
        <f t="shared" ca="1" si="122"/>
        <v>Carlos</v>
      </c>
      <c r="H292" s="2" t="str">
        <f t="shared" ca="1" si="123"/>
        <v>Novo</v>
      </c>
      <c r="I292" s="2" t="str">
        <f t="shared" ca="1" si="124"/>
        <v>Diego</v>
      </c>
      <c r="J292" s="14" t="str">
        <f t="shared" ca="1" si="125"/>
        <v>VCL-8893</v>
      </c>
      <c r="K292" s="2" t="str">
        <f t="shared" ca="1" si="126"/>
        <v>HB20</v>
      </c>
      <c r="L292" s="2" t="str">
        <f t="shared" ca="1" si="127"/>
        <v>Hyundai</v>
      </c>
      <c r="M292" s="2" t="str">
        <f t="shared" ca="1" si="128"/>
        <v>Popular</v>
      </c>
      <c r="N292" s="2">
        <f t="shared" ca="1" si="129"/>
        <v>2017</v>
      </c>
      <c r="O292" s="2" t="str">
        <f t="shared" ca="1" si="130"/>
        <v>Online</v>
      </c>
      <c r="P292" s="2" t="str">
        <f t="shared" ca="1" si="131"/>
        <v>Nordeste</v>
      </c>
      <c r="Q292" s="2" t="str">
        <f t="shared" ca="1" si="132"/>
        <v>BA</v>
      </c>
      <c r="R292" s="2" t="str">
        <f t="shared" ca="1" si="133"/>
        <v>Ilhéus</v>
      </c>
      <c r="S292" s="8">
        <f t="shared" ca="1" si="134"/>
        <v>7</v>
      </c>
      <c r="T292" s="10">
        <f t="shared" ca="1" si="135"/>
        <v>120166</v>
      </c>
      <c r="U292" s="10">
        <f t="shared" ca="1" si="136"/>
        <v>100939.44</v>
      </c>
      <c r="V292" s="10">
        <f t="shared" ca="1" si="137"/>
        <v>841162</v>
      </c>
      <c r="W292" s="10">
        <f t="shared" ca="1" si="138"/>
        <v>706576.08000000007</v>
      </c>
      <c r="X292" s="10">
        <f t="shared" ca="1" si="139"/>
        <v>134585.91999999993</v>
      </c>
      <c r="Y292" s="12">
        <f t="shared" ca="1" si="140"/>
        <v>0.15999999999999992</v>
      </c>
      <c r="Z292" s="2" t="str">
        <f t="shared" ca="1" si="141"/>
        <v>Em negociação</v>
      </c>
      <c r="AA292" s="8">
        <f t="shared" ca="1" si="142"/>
        <v>23</v>
      </c>
      <c r="AB292" s="2">
        <f t="shared" ca="1" si="143"/>
        <v>20</v>
      </c>
      <c r="AC292" s="2">
        <f t="shared" ca="1" si="144"/>
        <v>10</v>
      </c>
    </row>
    <row r="293" spans="1:29" x14ac:dyDescent="0.25">
      <c r="A293" s="14" t="str">
        <f t="shared" si="116"/>
        <v>VND-00293</v>
      </c>
      <c r="B293" s="5">
        <f t="shared" ca="1" si="117"/>
        <v>45254</v>
      </c>
      <c r="C293" s="2">
        <f t="shared" ca="1" si="118"/>
        <v>2023</v>
      </c>
      <c r="D293" s="2" t="str">
        <f t="shared" ca="1" si="119"/>
        <v>novembro</v>
      </c>
      <c r="E293" s="2" t="str">
        <f t="shared" ca="1" si="120"/>
        <v>2023/11</v>
      </c>
      <c r="F293" s="14" t="str">
        <f t="shared" ca="1" si="121"/>
        <v>CLI-6965</v>
      </c>
      <c r="G293" s="2" t="str">
        <f t="shared" ca="1" si="122"/>
        <v>João</v>
      </c>
      <c r="H293" s="2" t="str">
        <f t="shared" ca="1" si="123"/>
        <v>Novo</v>
      </c>
      <c r="I293" s="2" t="str">
        <f t="shared" ca="1" si="124"/>
        <v>Marcos</v>
      </c>
      <c r="J293" s="14" t="str">
        <f t="shared" ca="1" si="125"/>
        <v>VCL-4956</v>
      </c>
      <c r="K293" s="2" t="str">
        <f t="shared" ca="1" si="126"/>
        <v>HB20</v>
      </c>
      <c r="L293" s="2" t="str">
        <f t="shared" ca="1" si="127"/>
        <v>Hyundai</v>
      </c>
      <c r="M293" s="2" t="str">
        <f t="shared" ca="1" si="128"/>
        <v>Popular</v>
      </c>
      <c r="N293" s="2">
        <f t="shared" ca="1" si="129"/>
        <v>2024</v>
      </c>
      <c r="O293" s="2" t="str">
        <f t="shared" ca="1" si="130"/>
        <v>Online</v>
      </c>
      <c r="P293" s="2" t="str">
        <f t="shared" ca="1" si="131"/>
        <v>Sul</v>
      </c>
      <c r="Q293" s="2" t="str">
        <f t="shared" ca="1" si="132"/>
        <v>RS</v>
      </c>
      <c r="R293" s="2" t="str">
        <f t="shared" ca="1" si="133"/>
        <v>Porto Alegre</v>
      </c>
      <c r="S293" s="8">
        <f t="shared" ca="1" si="134"/>
        <v>2</v>
      </c>
      <c r="T293" s="10">
        <f t="shared" ca="1" si="135"/>
        <v>164589</v>
      </c>
      <c r="U293" s="10">
        <f t="shared" ca="1" si="136"/>
        <v>130025.31000000001</v>
      </c>
      <c r="V293" s="10">
        <f t="shared" ca="1" si="137"/>
        <v>329178</v>
      </c>
      <c r="W293" s="10">
        <f t="shared" ca="1" si="138"/>
        <v>260050.62000000002</v>
      </c>
      <c r="X293" s="10">
        <f t="shared" ca="1" si="139"/>
        <v>69127.379999999976</v>
      </c>
      <c r="Y293" s="12">
        <f t="shared" ca="1" si="140"/>
        <v>0.20999999999999994</v>
      </c>
      <c r="Z293" s="2" t="str">
        <f t="shared" ca="1" si="141"/>
        <v>Em negociação</v>
      </c>
      <c r="AA293" s="8">
        <f t="shared" ca="1" si="142"/>
        <v>18</v>
      </c>
      <c r="AB293" s="2">
        <f t="shared" ca="1" si="143"/>
        <v>30</v>
      </c>
      <c r="AC293" s="2">
        <f t="shared" ca="1" si="144"/>
        <v>10</v>
      </c>
    </row>
    <row r="294" spans="1:29" x14ac:dyDescent="0.25">
      <c r="A294" s="14" t="str">
        <f t="shared" si="116"/>
        <v>VND-00294</v>
      </c>
      <c r="B294" s="5">
        <f t="shared" ca="1" si="117"/>
        <v>45319</v>
      </c>
      <c r="C294" s="2">
        <f t="shared" ca="1" si="118"/>
        <v>2024</v>
      </c>
      <c r="D294" s="2" t="str">
        <f t="shared" ca="1" si="119"/>
        <v>janeiro</v>
      </c>
      <c r="E294" s="2" t="str">
        <f t="shared" ca="1" si="120"/>
        <v>2024/01</v>
      </c>
      <c r="F294" s="14" t="str">
        <f t="shared" ca="1" si="121"/>
        <v>CLI-7225</v>
      </c>
      <c r="G294" s="2" t="str">
        <f t="shared" ca="1" si="122"/>
        <v>Maria</v>
      </c>
      <c r="H294" s="2" t="str">
        <f t="shared" ca="1" si="123"/>
        <v>Recorrente</v>
      </c>
      <c r="I294" s="2" t="str">
        <f t="shared" ca="1" si="124"/>
        <v>Vinicius</v>
      </c>
      <c r="J294" s="14" t="str">
        <f t="shared" ca="1" si="125"/>
        <v>VCL-6144</v>
      </c>
      <c r="K294" s="2" t="str">
        <f t="shared" ca="1" si="126"/>
        <v>Compass</v>
      </c>
      <c r="L294" s="2" t="str">
        <f t="shared" ca="1" si="127"/>
        <v>Jeep</v>
      </c>
      <c r="M294" s="2" t="str">
        <f t="shared" ca="1" si="128"/>
        <v>SUV</v>
      </c>
      <c r="N294" s="2">
        <f t="shared" ca="1" si="129"/>
        <v>2021</v>
      </c>
      <c r="O294" s="2" t="str">
        <f t="shared" ca="1" si="130"/>
        <v>Loja</v>
      </c>
      <c r="P294" s="2" t="str">
        <f t="shared" ca="1" si="131"/>
        <v>Centro-Oeste</v>
      </c>
      <c r="Q294" s="2" t="str">
        <f t="shared" ca="1" si="132"/>
        <v>GO</v>
      </c>
      <c r="R294" s="2" t="str">
        <f t="shared" ca="1" si="133"/>
        <v>Luziânia</v>
      </c>
      <c r="S294" s="8">
        <f t="shared" ca="1" si="134"/>
        <v>3</v>
      </c>
      <c r="T294" s="10">
        <f t="shared" ca="1" si="135"/>
        <v>142257</v>
      </c>
      <c r="U294" s="10">
        <f t="shared" ca="1" si="136"/>
        <v>102425.04</v>
      </c>
      <c r="V294" s="10">
        <f t="shared" ca="1" si="137"/>
        <v>426771</v>
      </c>
      <c r="W294" s="10">
        <f t="shared" ca="1" si="138"/>
        <v>307275.12</v>
      </c>
      <c r="X294" s="10">
        <f t="shared" ca="1" si="139"/>
        <v>119495.88</v>
      </c>
      <c r="Y294" s="12">
        <f t="shared" ca="1" si="140"/>
        <v>0.28000000000000003</v>
      </c>
      <c r="Z294" s="2" t="str">
        <f t="shared" ca="1" si="141"/>
        <v>Em negociação</v>
      </c>
      <c r="AA294" s="8">
        <f t="shared" ca="1" si="142"/>
        <v>30</v>
      </c>
      <c r="AB294" s="2">
        <f t="shared" ca="1" si="143"/>
        <v>16</v>
      </c>
      <c r="AC294" s="2">
        <f t="shared" ca="1" si="144"/>
        <v>7</v>
      </c>
    </row>
    <row r="295" spans="1:29" x14ac:dyDescent="0.25">
      <c r="A295" s="14" t="str">
        <f t="shared" si="116"/>
        <v>VND-00295</v>
      </c>
      <c r="B295" s="5">
        <f t="shared" ca="1" si="117"/>
        <v>45928</v>
      </c>
      <c r="C295" s="2">
        <f t="shared" ca="1" si="118"/>
        <v>2025</v>
      </c>
      <c r="D295" s="2" t="str">
        <f t="shared" ca="1" si="119"/>
        <v>setembro</v>
      </c>
      <c r="E295" s="2" t="str">
        <f t="shared" ca="1" si="120"/>
        <v>2025/09</v>
      </c>
      <c r="F295" s="14" t="str">
        <f t="shared" ca="1" si="121"/>
        <v>CLI-8786</v>
      </c>
      <c r="G295" s="2" t="str">
        <f t="shared" ca="1" si="122"/>
        <v>Rafael</v>
      </c>
      <c r="H295" s="2" t="str">
        <f t="shared" ca="1" si="123"/>
        <v>Recorrente</v>
      </c>
      <c r="I295" s="2" t="str">
        <f t="shared" ca="1" si="124"/>
        <v>Larissa</v>
      </c>
      <c r="J295" s="14" t="str">
        <f t="shared" ca="1" si="125"/>
        <v>VCL-2414</v>
      </c>
      <c r="K295" s="2" t="str">
        <f t="shared" ca="1" si="126"/>
        <v>Compass</v>
      </c>
      <c r="L295" s="2" t="str">
        <f t="shared" ca="1" si="127"/>
        <v>Jeep</v>
      </c>
      <c r="M295" s="2" t="str">
        <f t="shared" ca="1" si="128"/>
        <v>SUV</v>
      </c>
      <c r="N295" s="2">
        <f t="shared" ca="1" si="129"/>
        <v>2020</v>
      </c>
      <c r="O295" s="2" t="str">
        <f t="shared" ca="1" si="130"/>
        <v>Loja</v>
      </c>
      <c r="P295" s="2" t="str">
        <f t="shared" ca="1" si="131"/>
        <v>Centro-Oeste</v>
      </c>
      <c r="Q295" s="2" t="str">
        <f t="shared" ca="1" si="132"/>
        <v>MT</v>
      </c>
      <c r="R295" s="2" t="str">
        <f t="shared" ca="1" si="133"/>
        <v>Tangará da Serra</v>
      </c>
      <c r="S295" s="8">
        <f t="shared" ca="1" si="134"/>
        <v>8</v>
      </c>
      <c r="T295" s="10">
        <f t="shared" ca="1" si="135"/>
        <v>122776</v>
      </c>
      <c r="U295" s="10">
        <f t="shared" ca="1" si="136"/>
        <v>93309.759999999995</v>
      </c>
      <c r="V295" s="10">
        <f t="shared" ca="1" si="137"/>
        <v>982208</v>
      </c>
      <c r="W295" s="10">
        <f t="shared" ca="1" si="138"/>
        <v>746478.07999999996</v>
      </c>
      <c r="X295" s="10">
        <f t="shared" ca="1" si="139"/>
        <v>235729.92000000004</v>
      </c>
      <c r="Y295" s="12">
        <f t="shared" ca="1" si="140"/>
        <v>0.24000000000000005</v>
      </c>
      <c r="Z295" s="2" t="str">
        <f t="shared" ca="1" si="141"/>
        <v>Cancelada</v>
      </c>
      <c r="AA295" s="8">
        <f t="shared" ca="1" si="142"/>
        <v>5</v>
      </c>
      <c r="AB295" s="2">
        <f t="shared" ca="1" si="143"/>
        <v>16</v>
      </c>
      <c r="AC295" s="2">
        <f t="shared" ca="1" si="144"/>
        <v>7</v>
      </c>
    </row>
    <row r="296" spans="1:29" x14ac:dyDescent="0.25">
      <c r="A296" s="14" t="str">
        <f t="shared" si="116"/>
        <v>VND-00296</v>
      </c>
      <c r="B296" s="5">
        <f t="shared" ca="1" si="117"/>
        <v>44965</v>
      </c>
      <c r="C296" s="2">
        <f t="shared" ca="1" si="118"/>
        <v>2023</v>
      </c>
      <c r="D296" s="2" t="str">
        <f t="shared" ca="1" si="119"/>
        <v>fevereiro</v>
      </c>
      <c r="E296" s="2" t="str">
        <f t="shared" ca="1" si="120"/>
        <v>2023/02</v>
      </c>
      <c r="F296" s="14" t="str">
        <f t="shared" ca="1" si="121"/>
        <v>CLI-3116</v>
      </c>
      <c r="G296" s="2" t="str">
        <f t="shared" ca="1" si="122"/>
        <v>Lucas</v>
      </c>
      <c r="H296" s="2" t="str">
        <f t="shared" ca="1" si="123"/>
        <v>Recorrente</v>
      </c>
      <c r="I296" s="2" t="str">
        <f t="shared" ca="1" si="124"/>
        <v>Felipe</v>
      </c>
      <c r="J296" s="14" t="str">
        <f t="shared" ca="1" si="125"/>
        <v>VCL-5085</v>
      </c>
      <c r="K296" s="2" t="str">
        <f t="shared" ca="1" si="126"/>
        <v>BMW X1</v>
      </c>
      <c r="L296" s="2" t="str">
        <f t="shared" ca="1" si="127"/>
        <v>BMW</v>
      </c>
      <c r="M296" s="2" t="str">
        <f t="shared" ca="1" si="128"/>
        <v>Luxo</v>
      </c>
      <c r="N296" s="2">
        <f t="shared" ca="1" si="129"/>
        <v>2020</v>
      </c>
      <c r="O296" s="2" t="str">
        <f t="shared" ca="1" si="130"/>
        <v>Online</v>
      </c>
      <c r="P296" s="2" t="str">
        <f t="shared" ca="1" si="131"/>
        <v>Norte</v>
      </c>
      <c r="Q296" s="2" t="str">
        <f t="shared" ca="1" si="132"/>
        <v>AM</v>
      </c>
      <c r="R296" s="2" t="str">
        <f t="shared" ca="1" si="133"/>
        <v>Coari</v>
      </c>
      <c r="S296" s="8">
        <f t="shared" ca="1" si="134"/>
        <v>5</v>
      </c>
      <c r="T296" s="10">
        <f t="shared" ca="1" si="135"/>
        <v>211730</v>
      </c>
      <c r="U296" s="10">
        <f t="shared" ca="1" si="136"/>
        <v>169384</v>
      </c>
      <c r="V296" s="10">
        <f t="shared" ca="1" si="137"/>
        <v>1058650</v>
      </c>
      <c r="W296" s="10">
        <f t="shared" ca="1" si="138"/>
        <v>846920</v>
      </c>
      <c r="X296" s="10">
        <f t="shared" ca="1" si="139"/>
        <v>211730</v>
      </c>
      <c r="Y296" s="12">
        <f t="shared" ca="1" si="140"/>
        <v>0.2</v>
      </c>
      <c r="Z296" s="2" t="str">
        <f t="shared" ca="1" si="141"/>
        <v>Concluída</v>
      </c>
      <c r="AA296" s="8">
        <f t="shared" ca="1" si="142"/>
        <v>27</v>
      </c>
      <c r="AB296" s="2">
        <f t="shared" ca="1" si="143"/>
        <v>1</v>
      </c>
      <c r="AC296" s="2">
        <f t="shared" ca="1" si="144"/>
        <v>3</v>
      </c>
    </row>
    <row r="297" spans="1:29" x14ac:dyDescent="0.25">
      <c r="A297" s="14" t="str">
        <f t="shared" si="116"/>
        <v>VND-00297</v>
      </c>
      <c r="B297" s="5">
        <f t="shared" ca="1" si="117"/>
        <v>45604</v>
      </c>
      <c r="C297" s="2">
        <f t="shared" ca="1" si="118"/>
        <v>2024</v>
      </c>
      <c r="D297" s="2" t="str">
        <f t="shared" ca="1" si="119"/>
        <v>novembro</v>
      </c>
      <c r="E297" s="2" t="str">
        <f t="shared" ca="1" si="120"/>
        <v>2024/11</v>
      </c>
      <c r="F297" s="14" t="str">
        <f t="shared" ca="1" si="121"/>
        <v>CLI-3868</v>
      </c>
      <c r="G297" s="2" t="str">
        <f t="shared" ca="1" si="122"/>
        <v>Ana</v>
      </c>
      <c r="H297" s="2" t="str">
        <f t="shared" ca="1" si="123"/>
        <v>Novo</v>
      </c>
      <c r="I297" s="2" t="str">
        <f t="shared" ca="1" si="124"/>
        <v>Camila</v>
      </c>
      <c r="J297" s="14" t="str">
        <f t="shared" ca="1" si="125"/>
        <v>VCL-4467</v>
      </c>
      <c r="K297" s="2" t="str">
        <f t="shared" ca="1" si="126"/>
        <v>BMW X1</v>
      </c>
      <c r="L297" s="2" t="str">
        <f t="shared" ca="1" si="127"/>
        <v>BMW</v>
      </c>
      <c r="M297" s="2" t="str">
        <f t="shared" ca="1" si="128"/>
        <v>Luxo</v>
      </c>
      <c r="N297" s="2">
        <f t="shared" ca="1" si="129"/>
        <v>2019</v>
      </c>
      <c r="O297" s="2" t="str">
        <f t="shared" ca="1" si="130"/>
        <v>Loja</v>
      </c>
      <c r="P297" s="2" t="str">
        <f t="shared" ca="1" si="131"/>
        <v>Centro-Oeste</v>
      </c>
      <c r="Q297" s="2" t="str">
        <f t="shared" ca="1" si="132"/>
        <v>GO</v>
      </c>
      <c r="R297" s="2" t="str">
        <f t="shared" ca="1" si="133"/>
        <v>Rio Verde</v>
      </c>
      <c r="S297" s="8">
        <f t="shared" ca="1" si="134"/>
        <v>8</v>
      </c>
      <c r="T297" s="10">
        <f t="shared" ca="1" si="135"/>
        <v>203948</v>
      </c>
      <c r="U297" s="10">
        <f t="shared" ca="1" si="136"/>
        <v>142763.59999999998</v>
      </c>
      <c r="V297" s="10">
        <f t="shared" ca="1" si="137"/>
        <v>1631584</v>
      </c>
      <c r="W297" s="10">
        <f t="shared" ca="1" si="138"/>
        <v>1142108.7999999998</v>
      </c>
      <c r="X297" s="10">
        <f t="shared" ca="1" si="139"/>
        <v>489475.20000000019</v>
      </c>
      <c r="Y297" s="12">
        <f t="shared" ca="1" si="140"/>
        <v>0.3000000000000001</v>
      </c>
      <c r="Z297" s="2" t="str">
        <f t="shared" ca="1" si="141"/>
        <v>Cancelada</v>
      </c>
      <c r="AA297" s="8">
        <f t="shared" ca="1" si="142"/>
        <v>4</v>
      </c>
      <c r="AB297" s="2">
        <f t="shared" ca="1" si="143"/>
        <v>6</v>
      </c>
      <c r="AC297" s="2">
        <f t="shared" ca="1" si="144"/>
        <v>3</v>
      </c>
    </row>
    <row r="298" spans="1:29" x14ac:dyDescent="0.25">
      <c r="A298" s="14" t="str">
        <f t="shared" si="116"/>
        <v>VND-00298</v>
      </c>
      <c r="B298" s="5">
        <f t="shared" ca="1" si="117"/>
        <v>45724</v>
      </c>
      <c r="C298" s="2">
        <f t="shared" ca="1" si="118"/>
        <v>2025</v>
      </c>
      <c r="D298" s="2" t="str">
        <f t="shared" ca="1" si="119"/>
        <v>março</v>
      </c>
      <c r="E298" s="2" t="str">
        <f t="shared" ca="1" si="120"/>
        <v>2025/03</v>
      </c>
      <c r="F298" s="14" t="str">
        <f t="shared" ca="1" si="121"/>
        <v>CLI-7557</v>
      </c>
      <c r="G298" s="2" t="str">
        <f t="shared" ca="1" si="122"/>
        <v>Maria</v>
      </c>
      <c r="H298" s="2" t="str">
        <f t="shared" ca="1" si="123"/>
        <v>Recorrente</v>
      </c>
      <c r="I298" s="2" t="str">
        <f t="shared" ca="1" si="124"/>
        <v>Eduardo</v>
      </c>
      <c r="J298" s="14" t="str">
        <f t="shared" ca="1" si="125"/>
        <v>VCL-2899</v>
      </c>
      <c r="K298" s="2" t="str">
        <f t="shared" ca="1" si="126"/>
        <v>Civic</v>
      </c>
      <c r="L298" s="2" t="str">
        <f t="shared" ca="1" si="127"/>
        <v>Honda</v>
      </c>
      <c r="M298" s="2" t="str">
        <f t="shared" ca="1" si="128"/>
        <v>SUV</v>
      </c>
      <c r="N298" s="2">
        <f t="shared" ca="1" si="129"/>
        <v>2023</v>
      </c>
      <c r="O298" s="2" t="str">
        <f t="shared" ca="1" si="130"/>
        <v>Online</v>
      </c>
      <c r="P298" s="2" t="str">
        <f t="shared" ca="1" si="131"/>
        <v>Centro-Oeste</v>
      </c>
      <c r="Q298" s="2" t="str">
        <f t="shared" ca="1" si="132"/>
        <v>MT</v>
      </c>
      <c r="R298" s="2" t="str">
        <f t="shared" ca="1" si="133"/>
        <v>Rondonópolis</v>
      </c>
      <c r="S298" s="8">
        <f t="shared" ca="1" si="134"/>
        <v>2</v>
      </c>
      <c r="T298" s="10">
        <f t="shared" ca="1" si="135"/>
        <v>63152</v>
      </c>
      <c r="U298" s="10">
        <f t="shared" ca="1" si="136"/>
        <v>53679.199999999997</v>
      </c>
      <c r="V298" s="10">
        <f t="shared" ca="1" si="137"/>
        <v>126304</v>
      </c>
      <c r="W298" s="10">
        <f t="shared" ca="1" si="138"/>
        <v>107358.39999999999</v>
      </c>
      <c r="X298" s="10">
        <f t="shared" ca="1" si="139"/>
        <v>18945.600000000006</v>
      </c>
      <c r="Y298" s="12">
        <f t="shared" ca="1" si="140"/>
        <v>0.15000000000000005</v>
      </c>
      <c r="Z298" s="2" t="str">
        <f t="shared" ca="1" si="141"/>
        <v>Cancelada</v>
      </c>
      <c r="AA298" s="8">
        <f t="shared" ca="1" si="142"/>
        <v>30</v>
      </c>
      <c r="AB298" s="2">
        <f t="shared" ca="1" si="143"/>
        <v>20</v>
      </c>
      <c r="AC298" s="2">
        <f t="shared" ca="1" si="144"/>
        <v>7</v>
      </c>
    </row>
    <row r="299" spans="1:29" x14ac:dyDescent="0.25">
      <c r="A299" s="14" t="str">
        <f t="shared" si="116"/>
        <v>VND-00299</v>
      </c>
      <c r="B299" s="5">
        <f t="shared" ca="1" si="117"/>
        <v>45696</v>
      </c>
      <c r="C299" s="2">
        <f t="shared" ca="1" si="118"/>
        <v>2025</v>
      </c>
      <c r="D299" s="2" t="str">
        <f t="shared" ca="1" si="119"/>
        <v>fevereiro</v>
      </c>
      <c r="E299" s="2" t="str">
        <f t="shared" ca="1" si="120"/>
        <v>2025/02</v>
      </c>
      <c r="F299" s="14" t="str">
        <f t="shared" ca="1" si="121"/>
        <v>CLI-1516</v>
      </c>
      <c r="G299" s="2" t="str">
        <f t="shared" ca="1" si="122"/>
        <v>João</v>
      </c>
      <c r="H299" s="2" t="str">
        <f t="shared" ca="1" si="123"/>
        <v>Recorrente</v>
      </c>
      <c r="I299" s="2" t="str">
        <f t="shared" ca="1" si="124"/>
        <v>Marcos</v>
      </c>
      <c r="J299" s="14" t="str">
        <f t="shared" ca="1" si="125"/>
        <v>VCL-5795</v>
      </c>
      <c r="K299" s="2" t="str">
        <f t="shared" ca="1" si="126"/>
        <v>Compass</v>
      </c>
      <c r="L299" s="2" t="str">
        <f t="shared" ca="1" si="127"/>
        <v>Jeep</v>
      </c>
      <c r="M299" s="2" t="str">
        <f t="shared" ca="1" si="128"/>
        <v>SUV</v>
      </c>
      <c r="N299" s="2">
        <f t="shared" ca="1" si="129"/>
        <v>2016</v>
      </c>
      <c r="O299" s="2" t="str">
        <f t="shared" ca="1" si="130"/>
        <v>Loja</v>
      </c>
      <c r="P299" s="2" t="str">
        <f t="shared" ca="1" si="131"/>
        <v>Sul</v>
      </c>
      <c r="Q299" s="2" t="str">
        <f t="shared" ca="1" si="132"/>
        <v>SC</v>
      </c>
      <c r="R299" s="2" t="str">
        <f t="shared" ca="1" si="133"/>
        <v>Chapecó</v>
      </c>
      <c r="S299" s="8">
        <f t="shared" ca="1" si="134"/>
        <v>3</v>
      </c>
      <c r="T299" s="10">
        <f t="shared" ca="1" si="135"/>
        <v>84780</v>
      </c>
      <c r="U299" s="10">
        <f t="shared" ca="1" si="136"/>
        <v>59345.999999999993</v>
      </c>
      <c r="V299" s="10">
        <f t="shared" ca="1" si="137"/>
        <v>254340</v>
      </c>
      <c r="W299" s="10">
        <f t="shared" ca="1" si="138"/>
        <v>178037.99999999997</v>
      </c>
      <c r="X299" s="10">
        <f t="shared" ca="1" si="139"/>
        <v>76302.000000000029</v>
      </c>
      <c r="Y299" s="12">
        <f t="shared" ca="1" si="140"/>
        <v>0.3000000000000001</v>
      </c>
      <c r="Z299" s="2" t="str">
        <f t="shared" ca="1" si="141"/>
        <v>Concluída</v>
      </c>
      <c r="AA299" s="8">
        <f t="shared" ca="1" si="142"/>
        <v>3</v>
      </c>
      <c r="AB299" s="2">
        <f t="shared" ca="1" si="143"/>
        <v>15</v>
      </c>
      <c r="AC299" s="2">
        <f t="shared" ca="1" si="144"/>
        <v>7</v>
      </c>
    </row>
    <row r="300" spans="1:29" x14ac:dyDescent="0.25">
      <c r="A300" s="14" t="str">
        <f t="shared" si="116"/>
        <v>VND-00300</v>
      </c>
      <c r="B300" s="5">
        <f t="shared" ca="1" si="117"/>
        <v>45966</v>
      </c>
      <c r="C300" s="2">
        <f t="shared" ca="1" si="118"/>
        <v>2025</v>
      </c>
      <c r="D300" s="2" t="str">
        <f t="shared" ca="1" si="119"/>
        <v>novembro</v>
      </c>
      <c r="E300" s="2" t="str">
        <f t="shared" ca="1" si="120"/>
        <v>2025/11</v>
      </c>
      <c r="F300" s="14" t="str">
        <f t="shared" ca="1" si="121"/>
        <v>CLI-8595</v>
      </c>
      <c r="G300" s="2" t="str">
        <f t="shared" ca="1" si="122"/>
        <v>João</v>
      </c>
      <c r="H300" s="2" t="str">
        <f t="shared" ca="1" si="123"/>
        <v>Recorrente</v>
      </c>
      <c r="I300" s="2" t="str">
        <f t="shared" ca="1" si="124"/>
        <v>Felipe</v>
      </c>
      <c r="J300" s="14" t="str">
        <f t="shared" ca="1" si="125"/>
        <v>VCL-7555</v>
      </c>
      <c r="K300" s="2" t="str">
        <f t="shared" ca="1" si="126"/>
        <v>Civic</v>
      </c>
      <c r="L300" s="2" t="str">
        <f t="shared" ca="1" si="127"/>
        <v>Honda</v>
      </c>
      <c r="M300" s="2" t="str">
        <f t="shared" ca="1" si="128"/>
        <v>SUV</v>
      </c>
      <c r="N300" s="2">
        <f t="shared" ca="1" si="129"/>
        <v>2022</v>
      </c>
      <c r="O300" s="2" t="str">
        <f t="shared" ca="1" si="130"/>
        <v>Loja</v>
      </c>
      <c r="P300" s="2" t="str">
        <f t="shared" ca="1" si="131"/>
        <v>Norte</v>
      </c>
      <c r="Q300" s="2" t="str">
        <f t="shared" ca="1" si="132"/>
        <v>PA</v>
      </c>
      <c r="R300" s="2" t="str">
        <f t="shared" ca="1" si="133"/>
        <v>Santarém</v>
      </c>
      <c r="S300" s="8">
        <f t="shared" ca="1" si="134"/>
        <v>9</v>
      </c>
      <c r="T300" s="10">
        <f t="shared" ca="1" si="135"/>
        <v>91620</v>
      </c>
      <c r="U300" s="10">
        <f t="shared" ca="1" si="136"/>
        <v>65966.399999999994</v>
      </c>
      <c r="V300" s="10">
        <f t="shared" ca="1" si="137"/>
        <v>824580</v>
      </c>
      <c r="W300" s="10">
        <f t="shared" ca="1" si="138"/>
        <v>593697.6</v>
      </c>
      <c r="X300" s="10">
        <f t="shared" ca="1" si="139"/>
        <v>230882.40000000002</v>
      </c>
      <c r="Y300" s="12">
        <f t="shared" ca="1" si="140"/>
        <v>0.28000000000000003</v>
      </c>
      <c r="Z300" s="2" t="str">
        <f t="shared" ca="1" si="141"/>
        <v>Concluída</v>
      </c>
      <c r="AA300" s="8">
        <f t="shared" ca="1" si="142"/>
        <v>16</v>
      </c>
      <c r="AB300" s="2">
        <f t="shared" ca="1" si="143"/>
        <v>13</v>
      </c>
      <c r="AC300" s="2">
        <f t="shared" ca="1" si="144"/>
        <v>7</v>
      </c>
    </row>
    <row r="301" spans="1:29" x14ac:dyDescent="0.25">
      <c r="A301" s="14" t="str">
        <f t="shared" si="116"/>
        <v>VND-00301</v>
      </c>
      <c r="B301" s="5">
        <f t="shared" ca="1" si="117"/>
        <v>45877</v>
      </c>
      <c r="C301" s="2">
        <f t="shared" ca="1" si="118"/>
        <v>2025</v>
      </c>
      <c r="D301" s="2" t="str">
        <f t="shared" ca="1" si="119"/>
        <v>agosto</v>
      </c>
      <c r="E301" s="2" t="str">
        <f t="shared" ca="1" si="120"/>
        <v>2025/08</v>
      </c>
      <c r="F301" s="14" t="str">
        <f t="shared" ca="1" si="121"/>
        <v>CLI-7587</v>
      </c>
      <c r="G301" s="2" t="str">
        <f t="shared" ca="1" si="122"/>
        <v>Lucas</v>
      </c>
      <c r="H301" s="2" t="str">
        <f t="shared" ca="1" si="123"/>
        <v>Recorrente</v>
      </c>
      <c r="I301" s="2" t="str">
        <f t="shared" ca="1" si="124"/>
        <v>André</v>
      </c>
      <c r="J301" s="14" t="str">
        <f t="shared" ca="1" si="125"/>
        <v>VCL-2106</v>
      </c>
      <c r="K301" s="2" t="str">
        <f t="shared" ca="1" si="126"/>
        <v>BMW X1</v>
      </c>
      <c r="L301" s="2" t="str">
        <f t="shared" ca="1" si="127"/>
        <v>BMW</v>
      </c>
      <c r="M301" s="2" t="str">
        <f t="shared" ca="1" si="128"/>
        <v>Luxo</v>
      </c>
      <c r="N301" s="2">
        <f t="shared" ca="1" si="129"/>
        <v>2021</v>
      </c>
      <c r="O301" s="2" t="str">
        <f t="shared" ca="1" si="130"/>
        <v>Online</v>
      </c>
      <c r="P301" s="2" t="str">
        <f t="shared" ca="1" si="131"/>
        <v>Nordeste</v>
      </c>
      <c r="Q301" s="2" t="str">
        <f t="shared" ca="1" si="132"/>
        <v>BA</v>
      </c>
      <c r="R301" s="2" t="str">
        <f t="shared" ca="1" si="133"/>
        <v>Ilhéus</v>
      </c>
      <c r="S301" s="8">
        <f t="shared" ca="1" si="134"/>
        <v>4</v>
      </c>
      <c r="T301" s="10">
        <f t="shared" ca="1" si="135"/>
        <v>211528</v>
      </c>
      <c r="U301" s="10">
        <f t="shared" ca="1" si="136"/>
        <v>167107.12</v>
      </c>
      <c r="V301" s="10">
        <f t="shared" ca="1" si="137"/>
        <v>846112</v>
      </c>
      <c r="W301" s="10">
        <f t="shared" ca="1" si="138"/>
        <v>668428.48</v>
      </c>
      <c r="X301" s="10">
        <f t="shared" ca="1" si="139"/>
        <v>177683.52000000002</v>
      </c>
      <c r="Y301" s="12">
        <f t="shared" ca="1" si="140"/>
        <v>0.21000000000000002</v>
      </c>
      <c r="Z301" s="2" t="str">
        <f t="shared" ca="1" si="141"/>
        <v>Em negociação</v>
      </c>
      <c r="AA301" s="8">
        <f t="shared" ca="1" si="142"/>
        <v>21</v>
      </c>
      <c r="AB301" s="2">
        <f t="shared" ca="1" si="143"/>
        <v>3</v>
      </c>
      <c r="AC301" s="2">
        <f t="shared" ca="1" si="144"/>
        <v>3</v>
      </c>
    </row>
    <row r="302" spans="1:29" x14ac:dyDescent="0.25">
      <c r="A302" s="14" t="str">
        <f t="shared" si="116"/>
        <v>VND-00302</v>
      </c>
      <c r="B302" s="5">
        <f t="shared" ca="1" si="117"/>
        <v>44965</v>
      </c>
      <c r="C302" s="2">
        <f t="shared" ca="1" si="118"/>
        <v>2023</v>
      </c>
      <c r="D302" s="2" t="str">
        <f t="shared" ca="1" si="119"/>
        <v>fevereiro</v>
      </c>
      <c r="E302" s="2" t="str">
        <f t="shared" ca="1" si="120"/>
        <v>2023/02</v>
      </c>
      <c r="F302" s="14" t="str">
        <f t="shared" ca="1" si="121"/>
        <v>CLI-2833</v>
      </c>
      <c r="G302" s="2" t="str">
        <f t="shared" ca="1" si="122"/>
        <v>Lucas</v>
      </c>
      <c r="H302" s="2" t="str">
        <f t="shared" ca="1" si="123"/>
        <v>Recorrente</v>
      </c>
      <c r="I302" s="2" t="str">
        <f t="shared" ca="1" si="124"/>
        <v>Gustavo</v>
      </c>
      <c r="J302" s="14" t="str">
        <f t="shared" ca="1" si="125"/>
        <v>VCL-7315</v>
      </c>
      <c r="K302" s="2" t="str">
        <f t="shared" ca="1" si="126"/>
        <v>BMW X1</v>
      </c>
      <c r="L302" s="2" t="str">
        <f t="shared" ca="1" si="127"/>
        <v>BMW</v>
      </c>
      <c r="M302" s="2" t="str">
        <f t="shared" ca="1" si="128"/>
        <v>Luxo</v>
      </c>
      <c r="N302" s="2">
        <f t="shared" ca="1" si="129"/>
        <v>2021</v>
      </c>
      <c r="O302" s="2" t="str">
        <f t="shared" ca="1" si="130"/>
        <v>Online</v>
      </c>
      <c r="P302" s="2" t="str">
        <f t="shared" ca="1" si="131"/>
        <v>Centro-Oeste</v>
      </c>
      <c r="Q302" s="2" t="str">
        <f t="shared" ca="1" si="132"/>
        <v>DF</v>
      </c>
      <c r="R302" s="2" t="str">
        <f t="shared" ca="1" si="133"/>
        <v>Samambaia</v>
      </c>
      <c r="S302" s="8">
        <f t="shared" ca="1" si="134"/>
        <v>6</v>
      </c>
      <c r="T302" s="10">
        <f t="shared" ca="1" si="135"/>
        <v>104553</v>
      </c>
      <c r="U302" s="10">
        <f t="shared" ca="1" si="136"/>
        <v>74232.62999999999</v>
      </c>
      <c r="V302" s="10">
        <f t="shared" ca="1" si="137"/>
        <v>627318</v>
      </c>
      <c r="W302" s="10">
        <f t="shared" ca="1" si="138"/>
        <v>445395.77999999991</v>
      </c>
      <c r="X302" s="10">
        <f t="shared" ca="1" si="139"/>
        <v>181922.22000000009</v>
      </c>
      <c r="Y302" s="12">
        <f t="shared" ca="1" si="140"/>
        <v>0.29000000000000015</v>
      </c>
      <c r="Z302" s="2" t="str">
        <f t="shared" ca="1" si="141"/>
        <v>Concluída</v>
      </c>
      <c r="AA302" s="8">
        <f t="shared" ca="1" si="142"/>
        <v>19</v>
      </c>
      <c r="AB302" s="2">
        <f t="shared" ca="1" si="143"/>
        <v>2</v>
      </c>
      <c r="AC302" s="2">
        <f t="shared" ca="1" si="144"/>
        <v>3</v>
      </c>
    </row>
    <row r="303" spans="1:29" x14ac:dyDescent="0.25">
      <c r="A303" s="14" t="str">
        <f t="shared" si="116"/>
        <v>VND-00303</v>
      </c>
      <c r="B303" s="5">
        <f t="shared" ca="1" si="117"/>
        <v>45624</v>
      </c>
      <c r="C303" s="2">
        <f t="shared" ca="1" si="118"/>
        <v>2024</v>
      </c>
      <c r="D303" s="2" t="str">
        <f t="shared" ca="1" si="119"/>
        <v>novembro</v>
      </c>
      <c r="E303" s="2" t="str">
        <f t="shared" ca="1" si="120"/>
        <v>2024/11</v>
      </c>
      <c r="F303" s="14" t="str">
        <f t="shared" ca="1" si="121"/>
        <v>CLI-6887</v>
      </c>
      <c r="G303" s="2" t="str">
        <f t="shared" ca="1" si="122"/>
        <v>Carlos</v>
      </c>
      <c r="H303" s="2" t="str">
        <f t="shared" ca="1" si="123"/>
        <v>Novo</v>
      </c>
      <c r="I303" s="2" t="str">
        <f t="shared" ca="1" si="124"/>
        <v>Pedro</v>
      </c>
      <c r="J303" s="14" t="str">
        <f t="shared" ca="1" si="125"/>
        <v>VCL-4044</v>
      </c>
      <c r="K303" s="2" t="str">
        <f t="shared" ca="1" si="126"/>
        <v>BMW X1</v>
      </c>
      <c r="L303" s="2" t="str">
        <f t="shared" ca="1" si="127"/>
        <v>BMW</v>
      </c>
      <c r="M303" s="2" t="str">
        <f t="shared" ca="1" si="128"/>
        <v>Luxo</v>
      </c>
      <c r="N303" s="2">
        <f t="shared" ca="1" si="129"/>
        <v>2015</v>
      </c>
      <c r="O303" s="2" t="str">
        <f t="shared" ca="1" si="130"/>
        <v>Loja</v>
      </c>
      <c r="P303" s="2" t="str">
        <f t="shared" ca="1" si="131"/>
        <v>Sudeste</v>
      </c>
      <c r="Q303" s="2" t="str">
        <f t="shared" ca="1" si="132"/>
        <v>ES</v>
      </c>
      <c r="R303" s="2" t="str">
        <f t="shared" ca="1" si="133"/>
        <v>Vila Velha</v>
      </c>
      <c r="S303" s="8">
        <f t="shared" ca="1" si="134"/>
        <v>1</v>
      </c>
      <c r="T303" s="10">
        <f t="shared" ca="1" si="135"/>
        <v>206685</v>
      </c>
      <c r="U303" s="10">
        <f t="shared" ca="1" si="136"/>
        <v>159147.45000000001</v>
      </c>
      <c r="V303" s="10">
        <f t="shared" ca="1" si="137"/>
        <v>206685</v>
      </c>
      <c r="W303" s="10">
        <f t="shared" ca="1" si="138"/>
        <v>159147.45000000001</v>
      </c>
      <c r="X303" s="10">
        <f t="shared" ca="1" si="139"/>
        <v>47537.549999999988</v>
      </c>
      <c r="Y303" s="12">
        <f t="shared" ca="1" si="140"/>
        <v>0.22999999999999995</v>
      </c>
      <c r="Z303" s="2" t="str">
        <f t="shared" ca="1" si="141"/>
        <v>Cancelada</v>
      </c>
      <c r="AA303" s="8">
        <f t="shared" ca="1" si="142"/>
        <v>2</v>
      </c>
      <c r="AB303" s="2">
        <f t="shared" ca="1" si="143"/>
        <v>10</v>
      </c>
      <c r="AC303" s="2">
        <f t="shared" ca="1" si="144"/>
        <v>3</v>
      </c>
    </row>
    <row r="304" spans="1:29" x14ac:dyDescent="0.25">
      <c r="A304" s="14" t="str">
        <f t="shared" si="116"/>
        <v>VND-00304</v>
      </c>
      <c r="B304" s="5">
        <f t="shared" ca="1" si="117"/>
        <v>45833</v>
      </c>
      <c r="C304" s="2">
        <f t="shared" ca="1" si="118"/>
        <v>2025</v>
      </c>
      <c r="D304" s="2" t="str">
        <f t="shared" ca="1" si="119"/>
        <v>junho</v>
      </c>
      <c r="E304" s="2" t="str">
        <f t="shared" ca="1" si="120"/>
        <v>2025/06</v>
      </c>
      <c r="F304" s="14" t="str">
        <f t="shared" ca="1" si="121"/>
        <v>CLI-9365</v>
      </c>
      <c r="G304" s="2" t="str">
        <f t="shared" ca="1" si="122"/>
        <v>Juliana</v>
      </c>
      <c r="H304" s="2" t="str">
        <f t="shared" ca="1" si="123"/>
        <v>Novo</v>
      </c>
      <c r="I304" s="2" t="str">
        <f t="shared" ca="1" si="124"/>
        <v>Gustavo</v>
      </c>
      <c r="J304" s="14" t="str">
        <f t="shared" ca="1" si="125"/>
        <v>VCL-6931</v>
      </c>
      <c r="K304" s="2" t="str">
        <f t="shared" ca="1" si="126"/>
        <v>Onix</v>
      </c>
      <c r="L304" s="2" t="str">
        <f t="shared" ca="1" si="127"/>
        <v>Chevrolet</v>
      </c>
      <c r="M304" s="2" t="str">
        <f t="shared" ca="1" si="128"/>
        <v>Popular</v>
      </c>
      <c r="N304" s="2">
        <f t="shared" ca="1" si="129"/>
        <v>2020</v>
      </c>
      <c r="O304" s="2" t="str">
        <f t="shared" ca="1" si="130"/>
        <v>Loja</v>
      </c>
      <c r="P304" s="2" t="str">
        <f t="shared" ca="1" si="131"/>
        <v>Centro-Oeste</v>
      </c>
      <c r="Q304" s="2" t="str">
        <f t="shared" ca="1" si="132"/>
        <v>GO</v>
      </c>
      <c r="R304" s="2" t="str">
        <f t="shared" ca="1" si="133"/>
        <v>Rio Verde</v>
      </c>
      <c r="S304" s="8">
        <f t="shared" ca="1" si="134"/>
        <v>8</v>
      </c>
      <c r="T304" s="10">
        <f t="shared" ca="1" si="135"/>
        <v>87716</v>
      </c>
      <c r="U304" s="10">
        <f t="shared" ca="1" si="136"/>
        <v>67541.320000000007</v>
      </c>
      <c r="V304" s="10">
        <f t="shared" ca="1" si="137"/>
        <v>701728</v>
      </c>
      <c r="W304" s="10">
        <f t="shared" ca="1" si="138"/>
        <v>540330.56000000006</v>
      </c>
      <c r="X304" s="10">
        <f t="shared" ca="1" si="139"/>
        <v>161397.43999999994</v>
      </c>
      <c r="Y304" s="12">
        <f t="shared" ca="1" si="140"/>
        <v>0.22999999999999993</v>
      </c>
      <c r="Z304" s="2" t="str">
        <f t="shared" ca="1" si="141"/>
        <v>Cancelada</v>
      </c>
      <c r="AA304" s="8">
        <f t="shared" ca="1" si="142"/>
        <v>17</v>
      </c>
      <c r="AB304" s="2">
        <f t="shared" ca="1" si="143"/>
        <v>16</v>
      </c>
      <c r="AC304" s="2">
        <f t="shared" ca="1" si="144"/>
        <v>10</v>
      </c>
    </row>
    <row r="305" spans="1:29" x14ac:dyDescent="0.25">
      <c r="A305" s="14" t="str">
        <f t="shared" si="116"/>
        <v>VND-00305</v>
      </c>
      <c r="B305" s="5">
        <f t="shared" ca="1" si="117"/>
        <v>45035</v>
      </c>
      <c r="C305" s="2">
        <f t="shared" ca="1" si="118"/>
        <v>2023</v>
      </c>
      <c r="D305" s="2" t="str">
        <f t="shared" ca="1" si="119"/>
        <v>abril</v>
      </c>
      <c r="E305" s="2" t="str">
        <f t="shared" ca="1" si="120"/>
        <v>2023/04</v>
      </c>
      <c r="F305" s="14" t="str">
        <f t="shared" ca="1" si="121"/>
        <v>CLI-7077</v>
      </c>
      <c r="G305" s="2" t="str">
        <f t="shared" ca="1" si="122"/>
        <v>Carlos</v>
      </c>
      <c r="H305" s="2" t="str">
        <f t="shared" ca="1" si="123"/>
        <v>Recorrente</v>
      </c>
      <c r="I305" s="2" t="str">
        <f t="shared" ca="1" si="124"/>
        <v>Diego</v>
      </c>
      <c r="J305" s="14" t="str">
        <f t="shared" ca="1" si="125"/>
        <v>VCL-2404</v>
      </c>
      <c r="K305" s="2" t="str">
        <f t="shared" ca="1" si="126"/>
        <v>BMW X1</v>
      </c>
      <c r="L305" s="2" t="str">
        <f t="shared" ca="1" si="127"/>
        <v>BMW</v>
      </c>
      <c r="M305" s="2" t="str">
        <f t="shared" ca="1" si="128"/>
        <v>Luxo</v>
      </c>
      <c r="N305" s="2">
        <f t="shared" ca="1" si="129"/>
        <v>2017</v>
      </c>
      <c r="O305" s="2" t="str">
        <f t="shared" ca="1" si="130"/>
        <v>Loja</v>
      </c>
      <c r="P305" s="2" t="str">
        <f t="shared" ca="1" si="131"/>
        <v>Nordeste</v>
      </c>
      <c r="Q305" s="2" t="str">
        <f t="shared" ca="1" si="132"/>
        <v>BA</v>
      </c>
      <c r="R305" s="2" t="str">
        <f t="shared" ca="1" si="133"/>
        <v>Ilhéus</v>
      </c>
      <c r="S305" s="8">
        <f t="shared" ca="1" si="134"/>
        <v>5</v>
      </c>
      <c r="T305" s="10">
        <f t="shared" ca="1" si="135"/>
        <v>155637</v>
      </c>
      <c r="U305" s="10">
        <f t="shared" ca="1" si="136"/>
        <v>108945.9</v>
      </c>
      <c r="V305" s="10">
        <f t="shared" ca="1" si="137"/>
        <v>778185</v>
      </c>
      <c r="W305" s="10">
        <f t="shared" ca="1" si="138"/>
        <v>544729.5</v>
      </c>
      <c r="X305" s="10">
        <f t="shared" ca="1" si="139"/>
        <v>233455.5</v>
      </c>
      <c r="Y305" s="12">
        <f t="shared" ca="1" si="140"/>
        <v>0.3</v>
      </c>
      <c r="Z305" s="2" t="str">
        <f t="shared" ca="1" si="141"/>
        <v>Em negociação</v>
      </c>
      <c r="AA305" s="8">
        <f t="shared" ca="1" si="142"/>
        <v>9</v>
      </c>
      <c r="AB305" s="2">
        <f t="shared" ca="1" si="143"/>
        <v>3</v>
      </c>
      <c r="AC305" s="2">
        <f t="shared" ca="1" si="144"/>
        <v>3</v>
      </c>
    </row>
    <row r="306" spans="1:29" x14ac:dyDescent="0.25">
      <c r="A306" s="14" t="str">
        <f t="shared" si="116"/>
        <v>VND-00306</v>
      </c>
      <c r="B306" s="5">
        <f t="shared" ca="1" si="117"/>
        <v>44951</v>
      </c>
      <c r="C306" s="2">
        <f t="shared" ca="1" si="118"/>
        <v>2023</v>
      </c>
      <c r="D306" s="2" t="str">
        <f t="shared" ca="1" si="119"/>
        <v>janeiro</v>
      </c>
      <c r="E306" s="2" t="str">
        <f t="shared" ca="1" si="120"/>
        <v>2023/01</v>
      </c>
      <c r="F306" s="14" t="str">
        <f t="shared" ca="1" si="121"/>
        <v>CLI-3867</v>
      </c>
      <c r="G306" s="2" t="str">
        <f t="shared" ca="1" si="122"/>
        <v>Lucas</v>
      </c>
      <c r="H306" s="2" t="str">
        <f t="shared" ca="1" si="123"/>
        <v>Novo</v>
      </c>
      <c r="I306" s="2" t="str">
        <f t="shared" ca="1" si="124"/>
        <v>Fernanda</v>
      </c>
      <c r="J306" s="14" t="str">
        <f t="shared" ca="1" si="125"/>
        <v>VCL-9254</v>
      </c>
      <c r="K306" s="2" t="str">
        <f t="shared" ca="1" si="126"/>
        <v>Onix</v>
      </c>
      <c r="L306" s="2" t="str">
        <f t="shared" ca="1" si="127"/>
        <v>Chevrolet</v>
      </c>
      <c r="M306" s="2" t="str">
        <f t="shared" ca="1" si="128"/>
        <v>Popular</v>
      </c>
      <c r="N306" s="2">
        <f t="shared" ca="1" si="129"/>
        <v>2024</v>
      </c>
      <c r="O306" s="2" t="str">
        <f t="shared" ca="1" si="130"/>
        <v>Loja</v>
      </c>
      <c r="P306" s="2" t="str">
        <f t="shared" ca="1" si="131"/>
        <v>Nordeste</v>
      </c>
      <c r="Q306" s="2" t="str">
        <f t="shared" ca="1" si="132"/>
        <v>BA</v>
      </c>
      <c r="R306" s="2" t="str">
        <f t="shared" ca="1" si="133"/>
        <v>Vitória da Conquista</v>
      </c>
      <c r="S306" s="8">
        <f t="shared" ca="1" si="134"/>
        <v>2</v>
      </c>
      <c r="T306" s="10">
        <f t="shared" ca="1" si="135"/>
        <v>203426</v>
      </c>
      <c r="U306" s="10">
        <f t="shared" ca="1" si="136"/>
        <v>156638.01999999999</v>
      </c>
      <c r="V306" s="10">
        <f t="shared" ca="1" si="137"/>
        <v>406852</v>
      </c>
      <c r="W306" s="10">
        <f t="shared" ca="1" si="138"/>
        <v>313276.03999999998</v>
      </c>
      <c r="X306" s="10">
        <f t="shared" ca="1" si="139"/>
        <v>93575.960000000021</v>
      </c>
      <c r="Y306" s="12">
        <f t="shared" ca="1" si="140"/>
        <v>0.23000000000000004</v>
      </c>
      <c r="Z306" s="2" t="str">
        <f t="shared" ca="1" si="141"/>
        <v>Em negociação</v>
      </c>
      <c r="AA306" s="8">
        <f t="shared" ca="1" si="142"/>
        <v>20</v>
      </c>
      <c r="AB306" s="2">
        <f t="shared" ca="1" si="143"/>
        <v>29</v>
      </c>
      <c r="AC306" s="2">
        <f t="shared" ca="1" si="144"/>
        <v>10</v>
      </c>
    </row>
    <row r="307" spans="1:29" x14ac:dyDescent="0.25">
      <c r="A307" s="14" t="str">
        <f t="shared" si="116"/>
        <v>VND-00307</v>
      </c>
      <c r="B307" s="5">
        <f t="shared" ca="1" si="117"/>
        <v>44986</v>
      </c>
      <c r="C307" s="2">
        <f t="shared" ca="1" si="118"/>
        <v>2023</v>
      </c>
      <c r="D307" s="2" t="str">
        <f t="shared" ca="1" si="119"/>
        <v>março</v>
      </c>
      <c r="E307" s="2" t="str">
        <f t="shared" ca="1" si="120"/>
        <v>2023/03</v>
      </c>
      <c r="F307" s="14" t="str">
        <f t="shared" ca="1" si="121"/>
        <v>CLI-9900</v>
      </c>
      <c r="G307" s="2" t="str">
        <f t="shared" ca="1" si="122"/>
        <v>Maria</v>
      </c>
      <c r="H307" s="2" t="str">
        <f t="shared" ca="1" si="123"/>
        <v>Novo</v>
      </c>
      <c r="I307" s="2" t="str">
        <f t="shared" ca="1" si="124"/>
        <v>Juliana</v>
      </c>
      <c r="J307" s="14" t="str">
        <f t="shared" ca="1" si="125"/>
        <v>VCL-1718</v>
      </c>
      <c r="K307" s="2" t="str">
        <f t="shared" ca="1" si="126"/>
        <v>Onix</v>
      </c>
      <c r="L307" s="2" t="str">
        <f t="shared" ca="1" si="127"/>
        <v>Chevrolet</v>
      </c>
      <c r="M307" s="2" t="str">
        <f t="shared" ca="1" si="128"/>
        <v>Popular</v>
      </c>
      <c r="N307" s="2">
        <f t="shared" ca="1" si="129"/>
        <v>2021</v>
      </c>
      <c r="O307" s="2" t="str">
        <f t="shared" ca="1" si="130"/>
        <v>Loja</v>
      </c>
      <c r="P307" s="2" t="str">
        <f t="shared" ca="1" si="131"/>
        <v>Sul</v>
      </c>
      <c r="Q307" s="2" t="str">
        <f t="shared" ca="1" si="132"/>
        <v>RS</v>
      </c>
      <c r="R307" s="2" t="str">
        <f t="shared" ca="1" si="133"/>
        <v>Canoas</v>
      </c>
      <c r="S307" s="8">
        <f t="shared" ca="1" si="134"/>
        <v>5</v>
      </c>
      <c r="T307" s="10">
        <f t="shared" ca="1" si="135"/>
        <v>109684</v>
      </c>
      <c r="U307" s="10">
        <f t="shared" ca="1" si="136"/>
        <v>83359.839999999997</v>
      </c>
      <c r="V307" s="10">
        <f t="shared" ca="1" si="137"/>
        <v>548420</v>
      </c>
      <c r="W307" s="10">
        <f t="shared" ca="1" si="138"/>
        <v>416799.19999999995</v>
      </c>
      <c r="X307" s="10">
        <f t="shared" ca="1" si="139"/>
        <v>131620.80000000005</v>
      </c>
      <c r="Y307" s="12">
        <f t="shared" ca="1" si="140"/>
        <v>0.24000000000000007</v>
      </c>
      <c r="Z307" s="2" t="str">
        <f t="shared" ca="1" si="141"/>
        <v>Em negociação</v>
      </c>
      <c r="AA307" s="8">
        <f t="shared" ca="1" si="142"/>
        <v>17</v>
      </c>
      <c r="AB307" s="2">
        <f t="shared" ca="1" si="143"/>
        <v>14</v>
      </c>
      <c r="AC307" s="2">
        <f t="shared" ca="1" si="144"/>
        <v>10</v>
      </c>
    </row>
    <row r="308" spans="1:29" x14ac:dyDescent="0.25">
      <c r="A308" s="14" t="str">
        <f t="shared" si="116"/>
        <v>VND-00308</v>
      </c>
      <c r="B308" s="5">
        <f t="shared" ca="1" si="117"/>
        <v>45201</v>
      </c>
      <c r="C308" s="2">
        <f t="shared" ca="1" si="118"/>
        <v>2023</v>
      </c>
      <c r="D308" s="2" t="str">
        <f t="shared" ca="1" si="119"/>
        <v>outubro</v>
      </c>
      <c r="E308" s="2" t="str">
        <f t="shared" ca="1" si="120"/>
        <v>2023/10</v>
      </c>
      <c r="F308" s="14" t="str">
        <f t="shared" ca="1" si="121"/>
        <v>CLI-7281</v>
      </c>
      <c r="G308" s="2" t="str">
        <f t="shared" ca="1" si="122"/>
        <v>Ana</v>
      </c>
      <c r="H308" s="2" t="str">
        <f t="shared" ca="1" si="123"/>
        <v>Recorrente</v>
      </c>
      <c r="I308" s="2" t="str">
        <f t="shared" ca="1" si="124"/>
        <v>Pedro</v>
      </c>
      <c r="J308" s="14" t="str">
        <f t="shared" ca="1" si="125"/>
        <v>VCL-1913</v>
      </c>
      <c r="K308" s="2" t="str">
        <f t="shared" ca="1" si="126"/>
        <v>Onix</v>
      </c>
      <c r="L308" s="2" t="str">
        <f t="shared" ca="1" si="127"/>
        <v>Chevrolet</v>
      </c>
      <c r="M308" s="2" t="str">
        <f t="shared" ca="1" si="128"/>
        <v>Popular</v>
      </c>
      <c r="N308" s="2">
        <f t="shared" ca="1" si="129"/>
        <v>2023</v>
      </c>
      <c r="O308" s="2" t="str">
        <f t="shared" ca="1" si="130"/>
        <v>Loja</v>
      </c>
      <c r="P308" s="2" t="str">
        <f t="shared" ca="1" si="131"/>
        <v>Sudeste</v>
      </c>
      <c r="Q308" s="2" t="str">
        <f t="shared" ca="1" si="132"/>
        <v>SP</v>
      </c>
      <c r="R308" s="2" t="str">
        <f t="shared" ca="1" si="133"/>
        <v>Campinas</v>
      </c>
      <c r="S308" s="8">
        <f t="shared" ca="1" si="134"/>
        <v>3</v>
      </c>
      <c r="T308" s="10">
        <f t="shared" ca="1" si="135"/>
        <v>202347</v>
      </c>
      <c r="U308" s="10">
        <f t="shared" ca="1" si="136"/>
        <v>157830.66</v>
      </c>
      <c r="V308" s="10">
        <f t="shared" ca="1" si="137"/>
        <v>607041</v>
      </c>
      <c r="W308" s="10">
        <f t="shared" ca="1" si="138"/>
        <v>473491.98</v>
      </c>
      <c r="X308" s="10">
        <f t="shared" ca="1" si="139"/>
        <v>133549.02000000002</v>
      </c>
      <c r="Y308" s="12">
        <f t="shared" ca="1" si="140"/>
        <v>0.22000000000000003</v>
      </c>
      <c r="Z308" s="2" t="str">
        <f t="shared" ca="1" si="141"/>
        <v>Em negociação</v>
      </c>
      <c r="AA308" s="8">
        <f t="shared" ca="1" si="142"/>
        <v>26</v>
      </c>
      <c r="AB308" s="2">
        <f t="shared" ca="1" si="143"/>
        <v>16</v>
      </c>
      <c r="AC308" s="2">
        <f t="shared" ca="1" si="144"/>
        <v>10</v>
      </c>
    </row>
    <row r="309" spans="1:29" x14ac:dyDescent="0.25">
      <c r="A309" s="14" t="str">
        <f t="shared" si="116"/>
        <v>VND-00309</v>
      </c>
      <c r="B309" s="5">
        <f t="shared" ca="1" si="117"/>
        <v>45731</v>
      </c>
      <c r="C309" s="2">
        <f t="shared" ca="1" si="118"/>
        <v>2025</v>
      </c>
      <c r="D309" s="2" t="str">
        <f t="shared" ca="1" si="119"/>
        <v>março</v>
      </c>
      <c r="E309" s="2" t="str">
        <f t="shared" ca="1" si="120"/>
        <v>2025/03</v>
      </c>
      <c r="F309" s="14" t="str">
        <f t="shared" ca="1" si="121"/>
        <v>CLI-4061</v>
      </c>
      <c r="G309" s="2" t="str">
        <f t="shared" ca="1" si="122"/>
        <v>Ana</v>
      </c>
      <c r="H309" s="2" t="str">
        <f t="shared" ca="1" si="123"/>
        <v>Novo</v>
      </c>
      <c r="I309" s="2" t="str">
        <f t="shared" ca="1" si="124"/>
        <v>Maria</v>
      </c>
      <c r="J309" s="14" t="str">
        <f t="shared" ca="1" si="125"/>
        <v>VCL-2736</v>
      </c>
      <c r="K309" s="2" t="str">
        <f t="shared" ca="1" si="126"/>
        <v>Onix</v>
      </c>
      <c r="L309" s="2" t="str">
        <f t="shared" ca="1" si="127"/>
        <v>Chevrolet</v>
      </c>
      <c r="M309" s="2" t="str">
        <f t="shared" ca="1" si="128"/>
        <v>Popular</v>
      </c>
      <c r="N309" s="2">
        <f t="shared" ca="1" si="129"/>
        <v>2020</v>
      </c>
      <c r="O309" s="2" t="str">
        <f t="shared" ca="1" si="130"/>
        <v>Online</v>
      </c>
      <c r="P309" s="2" t="str">
        <f t="shared" ca="1" si="131"/>
        <v>Sudeste</v>
      </c>
      <c r="Q309" s="2" t="str">
        <f t="shared" ca="1" si="132"/>
        <v>SP</v>
      </c>
      <c r="R309" s="2" t="str">
        <f t="shared" ca="1" si="133"/>
        <v>Campinas</v>
      </c>
      <c r="S309" s="8">
        <f t="shared" ca="1" si="134"/>
        <v>2</v>
      </c>
      <c r="T309" s="10">
        <f t="shared" ca="1" si="135"/>
        <v>111722</v>
      </c>
      <c r="U309" s="10">
        <f t="shared" ca="1" si="136"/>
        <v>82674.28</v>
      </c>
      <c r="V309" s="10">
        <f t="shared" ca="1" si="137"/>
        <v>223444</v>
      </c>
      <c r="W309" s="10">
        <f t="shared" ca="1" si="138"/>
        <v>165348.56</v>
      </c>
      <c r="X309" s="10">
        <f t="shared" ca="1" si="139"/>
        <v>58095.44</v>
      </c>
      <c r="Y309" s="12">
        <f t="shared" ca="1" si="140"/>
        <v>0.26</v>
      </c>
      <c r="Z309" s="2" t="str">
        <f t="shared" ca="1" si="141"/>
        <v>Concluída</v>
      </c>
      <c r="AA309" s="8">
        <f t="shared" ca="1" si="142"/>
        <v>11</v>
      </c>
      <c r="AB309" s="2">
        <f t="shared" ca="1" si="143"/>
        <v>10</v>
      </c>
      <c r="AC309" s="2">
        <f t="shared" ca="1" si="144"/>
        <v>10</v>
      </c>
    </row>
    <row r="310" spans="1:29" x14ac:dyDescent="0.25">
      <c r="A310" s="14" t="str">
        <f t="shared" si="116"/>
        <v>VND-00310</v>
      </c>
      <c r="B310" s="5">
        <f t="shared" ca="1" si="117"/>
        <v>45019</v>
      </c>
      <c r="C310" s="2">
        <f t="shared" ca="1" si="118"/>
        <v>2023</v>
      </c>
      <c r="D310" s="2" t="str">
        <f t="shared" ca="1" si="119"/>
        <v>abril</v>
      </c>
      <c r="E310" s="2" t="str">
        <f t="shared" ca="1" si="120"/>
        <v>2023/04</v>
      </c>
      <c r="F310" s="14" t="str">
        <f t="shared" ca="1" si="121"/>
        <v>CLI-7136</v>
      </c>
      <c r="G310" s="2" t="str">
        <f t="shared" ca="1" si="122"/>
        <v>Maria</v>
      </c>
      <c r="H310" s="2" t="str">
        <f t="shared" ca="1" si="123"/>
        <v>Recorrente</v>
      </c>
      <c r="I310" s="2" t="str">
        <f t="shared" ca="1" si="124"/>
        <v>Lucas</v>
      </c>
      <c r="J310" s="14" t="str">
        <f t="shared" ca="1" si="125"/>
        <v>VCL-3294</v>
      </c>
      <c r="K310" s="2" t="str">
        <f t="shared" ca="1" si="126"/>
        <v>BMW X1</v>
      </c>
      <c r="L310" s="2" t="str">
        <f t="shared" ca="1" si="127"/>
        <v>BMW</v>
      </c>
      <c r="M310" s="2" t="str">
        <f t="shared" ca="1" si="128"/>
        <v>Luxo</v>
      </c>
      <c r="N310" s="2">
        <f t="shared" ca="1" si="129"/>
        <v>2024</v>
      </c>
      <c r="O310" s="2" t="str">
        <f t="shared" ca="1" si="130"/>
        <v>Loja</v>
      </c>
      <c r="P310" s="2" t="str">
        <f t="shared" ca="1" si="131"/>
        <v>Sudeste</v>
      </c>
      <c r="Q310" s="2" t="str">
        <f t="shared" ca="1" si="132"/>
        <v>MG</v>
      </c>
      <c r="R310" s="2" t="str">
        <f t="shared" ca="1" si="133"/>
        <v>Uberlândia</v>
      </c>
      <c r="S310" s="8">
        <f t="shared" ca="1" si="134"/>
        <v>8</v>
      </c>
      <c r="T310" s="10">
        <f t="shared" ca="1" si="135"/>
        <v>166661</v>
      </c>
      <c r="U310" s="10">
        <f t="shared" ca="1" si="136"/>
        <v>133328.80000000002</v>
      </c>
      <c r="V310" s="10">
        <f t="shared" ca="1" si="137"/>
        <v>1333288</v>
      </c>
      <c r="W310" s="10">
        <f t="shared" ca="1" si="138"/>
        <v>1066630.4000000001</v>
      </c>
      <c r="X310" s="10">
        <f t="shared" ca="1" si="139"/>
        <v>266657.59999999986</v>
      </c>
      <c r="Y310" s="12">
        <f t="shared" ca="1" si="140"/>
        <v>0.1999999999999999</v>
      </c>
      <c r="Z310" s="2" t="str">
        <f t="shared" ca="1" si="141"/>
        <v>Concluída</v>
      </c>
      <c r="AA310" s="8">
        <f t="shared" ca="1" si="142"/>
        <v>5</v>
      </c>
      <c r="AB310" s="2">
        <f t="shared" ca="1" si="143"/>
        <v>8</v>
      </c>
      <c r="AC310" s="2">
        <f t="shared" ca="1" si="144"/>
        <v>3</v>
      </c>
    </row>
    <row r="311" spans="1:29" x14ac:dyDescent="0.25">
      <c r="A311" s="14" t="str">
        <f t="shared" si="116"/>
        <v>VND-00311</v>
      </c>
      <c r="B311" s="5">
        <f t="shared" ca="1" si="117"/>
        <v>45428</v>
      </c>
      <c r="C311" s="2">
        <f t="shared" ca="1" si="118"/>
        <v>2024</v>
      </c>
      <c r="D311" s="2" t="str">
        <f t="shared" ca="1" si="119"/>
        <v>maio</v>
      </c>
      <c r="E311" s="2" t="str">
        <f t="shared" ca="1" si="120"/>
        <v>2024/05</v>
      </c>
      <c r="F311" s="14" t="str">
        <f t="shared" ca="1" si="121"/>
        <v>CLI-4971</v>
      </c>
      <c r="G311" s="2" t="str">
        <f t="shared" ca="1" si="122"/>
        <v>Rafael</v>
      </c>
      <c r="H311" s="2" t="str">
        <f t="shared" ca="1" si="123"/>
        <v>Novo</v>
      </c>
      <c r="I311" s="2" t="str">
        <f t="shared" ca="1" si="124"/>
        <v>Larissa</v>
      </c>
      <c r="J311" s="14" t="str">
        <f t="shared" ca="1" si="125"/>
        <v>VCL-4896</v>
      </c>
      <c r="K311" s="2" t="str">
        <f t="shared" ca="1" si="126"/>
        <v>Onix</v>
      </c>
      <c r="L311" s="2" t="str">
        <f t="shared" ca="1" si="127"/>
        <v>Chevrolet</v>
      </c>
      <c r="M311" s="2" t="str">
        <f t="shared" ca="1" si="128"/>
        <v>Popular</v>
      </c>
      <c r="N311" s="2">
        <f t="shared" ca="1" si="129"/>
        <v>2024</v>
      </c>
      <c r="O311" s="2" t="str">
        <f t="shared" ca="1" si="130"/>
        <v>Online</v>
      </c>
      <c r="P311" s="2" t="str">
        <f t="shared" ca="1" si="131"/>
        <v>Centro-Oeste</v>
      </c>
      <c r="Q311" s="2" t="str">
        <f t="shared" ca="1" si="132"/>
        <v>MT</v>
      </c>
      <c r="R311" s="2" t="str">
        <f t="shared" ca="1" si="133"/>
        <v>Cuiabá</v>
      </c>
      <c r="S311" s="8">
        <f t="shared" ca="1" si="134"/>
        <v>4</v>
      </c>
      <c r="T311" s="10">
        <f t="shared" ca="1" si="135"/>
        <v>69892</v>
      </c>
      <c r="U311" s="10">
        <f t="shared" ca="1" si="136"/>
        <v>51720.08</v>
      </c>
      <c r="V311" s="10">
        <f t="shared" ca="1" si="137"/>
        <v>279568</v>
      </c>
      <c r="W311" s="10">
        <f t="shared" ca="1" si="138"/>
        <v>206880.32</v>
      </c>
      <c r="X311" s="10">
        <f t="shared" ca="1" si="139"/>
        <v>72687.679999999993</v>
      </c>
      <c r="Y311" s="12">
        <f t="shared" ca="1" si="140"/>
        <v>0.25999999999999995</v>
      </c>
      <c r="Z311" s="2" t="str">
        <f t="shared" ca="1" si="141"/>
        <v>Concluída</v>
      </c>
      <c r="AA311" s="8">
        <f t="shared" ca="1" si="142"/>
        <v>25</v>
      </c>
      <c r="AB311" s="2">
        <f t="shared" ca="1" si="143"/>
        <v>24</v>
      </c>
      <c r="AC311" s="2">
        <f t="shared" ca="1" si="144"/>
        <v>10</v>
      </c>
    </row>
    <row r="312" spans="1:29" x14ac:dyDescent="0.25">
      <c r="A312" s="14" t="str">
        <f t="shared" si="116"/>
        <v>VND-00312</v>
      </c>
      <c r="B312" s="5">
        <f t="shared" ca="1" si="117"/>
        <v>45092</v>
      </c>
      <c r="C312" s="2">
        <f t="shared" ca="1" si="118"/>
        <v>2023</v>
      </c>
      <c r="D312" s="2" t="str">
        <f t="shared" ca="1" si="119"/>
        <v>junho</v>
      </c>
      <c r="E312" s="2" t="str">
        <f t="shared" ca="1" si="120"/>
        <v>2023/06</v>
      </c>
      <c r="F312" s="14" t="str">
        <f t="shared" ca="1" si="121"/>
        <v>CLI-3052</v>
      </c>
      <c r="G312" s="2" t="str">
        <f t="shared" ca="1" si="122"/>
        <v>Maria</v>
      </c>
      <c r="H312" s="2" t="str">
        <f t="shared" ca="1" si="123"/>
        <v>Novo</v>
      </c>
      <c r="I312" s="2" t="str">
        <f t="shared" ca="1" si="124"/>
        <v>Diego</v>
      </c>
      <c r="J312" s="14" t="str">
        <f t="shared" ca="1" si="125"/>
        <v>VCL-3217</v>
      </c>
      <c r="K312" s="2" t="str">
        <f t="shared" ca="1" si="126"/>
        <v>Compass</v>
      </c>
      <c r="L312" s="2" t="str">
        <f t="shared" ca="1" si="127"/>
        <v>Jeep</v>
      </c>
      <c r="M312" s="2" t="str">
        <f t="shared" ca="1" si="128"/>
        <v>SUV</v>
      </c>
      <c r="N312" s="2">
        <f t="shared" ca="1" si="129"/>
        <v>2023</v>
      </c>
      <c r="O312" s="2" t="str">
        <f t="shared" ca="1" si="130"/>
        <v>Loja</v>
      </c>
      <c r="P312" s="2" t="str">
        <f t="shared" ca="1" si="131"/>
        <v>Nordeste</v>
      </c>
      <c r="Q312" s="2" t="str">
        <f t="shared" ca="1" si="132"/>
        <v>PE</v>
      </c>
      <c r="R312" s="2" t="str">
        <f t="shared" ca="1" si="133"/>
        <v>Petrolina</v>
      </c>
      <c r="S312" s="8">
        <f t="shared" ca="1" si="134"/>
        <v>5</v>
      </c>
      <c r="T312" s="10">
        <f t="shared" ca="1" si="135"/>
        <v>247833</v>
      </c>
      <c r="U312" s="10">
        <f t="shared" ca="1" si="136"/>
        <v>203223.06</v>
      </c>
      <c r="V312" s="10">
        <f t="shared" ca="1" si="137"/>
        <v>1239165</v>
      </c>
      <c r="W312" s="10">
        <f t="shared" ca="1" si="138"/>
        <v>1016115.3</v>
      </c>
      <c r="X312" s="10">
        <f t="shared" ca="1" si="139"/>
        <v>223049.69999999995</v>
      </c>
      <c r="Y312" s="12">
        <f t="shared" ca="1" si="140"/>
        <v>0.17999999999999997</v>
      </c>
      <c r="Z312" s="2" t="str">
        <f t="shared" ca="1" si="141"/>
        <v>Em negociação</v>
      </c>
      <c r="AA312" s="8">
        <f t="shared" ca="1" si="142"/>
        <v>24</v>
      </c>
      <c r="AB312" s="2">
        <f t="shared" ca="1" si="143"/>
        <v>10</v>
      </c>
      <c r="AC312" s="2">
        <f t="shared" ca="1" si="144"/>
        <v>7</v>
      </c>
    </row>
    <row r="313" spans="1:29" x14ac:dyDescent="0.25">
      <c r="A313" s="14" t="str">
        <f t="shared" si="116"/>
        <v>VND-00313</v>
      </c>
      <c r="B313" s="5">
        <f t="shared" ca="1" si="117"/>
        <v>45005</v>
      </c>
      <c r="C313" s="2">
        <f t="shared" ca="1" si="118"/>
        <v>2023</v>
      </c>
      <c r="D313" s="2" t="str">
        <f t="shared" ca="1" si="119"/>
        <v>março</v>
      </c>
      <c r="E313" s="2" t="str">
        <f t="shared" ca="1" si="120"/>
        <v>2023/03</v>
      </c>
      <c r="F313" s="14" t="str">
        <f t="shared" ca="1" si="121"/>
        <v>CLI-2697</v>
      </c>
      <c r="G313" s="2" t="str">
        <f t="shared" ca="1" si="122"/>
        <v>Lucas</v>
      </c>
      <c r="H313" s="2" t="str">
        <f t="shared" ca="1" si="123"/>
        <v>Novo</v>
      </c>
      <c r="I313" s="2" t="str">
        <f t="shared" ca="1" si="124"/>
        <v>Lucas</v>
      </c>
      <c r="J313" s="14" t="str">
        <f t="shared" ca="1" si="125"/>
        <v>VCL-2365</v>
      </c>
      <c r="K313" s="2" t="str">
        <f t="shared" ca="1" si="126"/>
        <v>BMW X1</v>
      </c>
      <c r="L313" s="2" t="str">
        <f t="shared" ca="1" si="127"/>
        <v>BMW</v>
      </c>
      <c r="M313" s="2" t="str">
        <f t="shared" ca="1" si="128"/>
        <v>Luxo</v>
      </c>
      <c r="N313" s="2">
        <f t="shared" ca="1" si="129"/>
        <v>2024</v>
      </c>
      <c r="O313" s="2" t="str">
        <f t="shared" ca="1" si="130"/>
        <v>Loja</v>
      </c>
      <c r="P313" s="2" t="str">
        <f t="shared" ca="1" si="131"/>
        <v>Sudeste</v>
      </c>
      <c r="Q313" s="2" t="str">
        <f t="shared" ca="1" si="132"/>
        <v>RJ</v>
      </c>
      <c r="R313" s="2" t="str">
        <f t="shared" ca="1" si="133"/>
        <v>Rio de Janeiro</v>
      </c>
      <c r="S313" s="8">
        <f t="shared" ca="1" si="134"/>
        <v>3</v>
      </c>
      <c r="T313" s="10">
        <f t="shared" ca="1" si="135"/>
        <v>92665</v>
      </c>
      <c r="U313" s="10">
        <f t="shared" ca="1" si="136"/>
        <v>67645.45</v>
      </c>
      <c r="V313" s="10">
        <f t="shared" ca="1" si="137"/>
        <v>277995</v>
      </c>
      <c r="W313" s="10">
        <f t="shared" ca="1" si="138"/>
        <v>202936.34999999998</v>
      </c>
      <c r="X313" s="10">
        <f t="shared" ca="1" si="139"/>
        <v>75058.650000000023</v>
      </c>
      <c r="Y313" s="12">
        <f t="shared" ca="1" si="140"/>
        <v>0.27000000000000007</v>
      </c>
      <c r="Z313" s="2" t="str">
        <f t="shared" ca="1" si="141"/>
        <v>Concluída</v>
      </c>
      <c r="AA313" s="8">
        <f t="shared" ca="1" si="142"/>
        <v>14</v>
      </c>
      <c r="AB313" s="2">
        <f t="shared" ca="1" si="143"/>
        <v>8</v>
      </c>
      <c r="AC313" s="2">
        <f t="shared" ca="1" si="144"/>
        <v>3</v>
      </c>
    </row>
    <row r="314" spans="1:29" x14ac:dyDescent="0.25">
      <c r="A314" s="14" t="str">
        <f t="shared" si="116"/>
        <v>VND-00314</v>
      </c>
      <c r="B314" s="5">
        <f t="shared" ca="1" si="117"/>
        <v>45785</v>
      </c>
      <c r="C314" s="2">
        <f t="shared" ca="1" si="118"/>
        <v>2025</v>
      </c>
      <c r="D314" s="2" t="str">
        <f t="shared" ca="1" si="119"/>
        <v>maio</v>
      </c>
      <c r="E314" s="2" t="str">
        <f t="shared" ca="1" si="120"/>
        <v>2025/05</v>
      </c>
      <c r="F314" s="14" t="str">
        <f t="shared" ca="1" si="121"/>
        <v>CLI-9690</v>
      </c>
      <c r="G314" s="2" t="str">
        <f t="shared" ca="1" si="122"/>
        <v>Juliana</v>
      </c>
      <c r="H314" s="2" t="str">
        <f t="shared" ca="1" si="123"/>
        <v>Novo</v>
      </c>
      <c r="I314" s="2" t="str">
        <f t="shared" ca="1" si="124"/>
        <v>Patricia</v>
      </c>
      <c r="J314" s="14" t="str">
        <f t="shared" ca="1" si="125"/>
        <v>VCL-2014</v>
      </c>
      <c r="K314" s="2" t="str">
        <f t="shared" ca="1" si="126"/>
        <v>Corolla</v>
      </c>
      <c r="L314" s="2" t="str">
        <f t="shared" ca="1" si="127"/>
        <v>Toyota</v>
      </c>
      <c r="M314" s="2" t="str">
        <f t="shared" ca="1" si="128"/>
        <v>SUV</v>
      </c>
      <c r="N314" s="2">
        <f t="shared" ca="1" si="129"/>
        <v>2015</v>
      </c>
      <c r="O314" s="2" t="str">
        <f t="shared" ca="1" si="130"/>
        <v>Loja</v>
      </c>
      <c r="P314" s="2" t="str">
        <f t="shared" ca="1" si="131"/>
        <v>Nordeste</v>
      </c>
      <c r="Q314" s="2" t="str">
        <f t="shared" ca="1" si="132"/>
        <v>BA</v>
      </c>
      <c r="R314" s="2" t="str">
        <f t="shared" ca="1" si="133"/>
        <v>Ilhéus</v>
      </c>
      <c r="S314" s="8">
        <f t="shared" ca="1" si="134"/>
        <v>6</v>
      </c>
      <c r="T314" s="10">
        <f t="shared" ca="1" si="135"/>
        <v>187697</v>
      </c>
      <c r="U314" s="10">
        <f t="shared" ca="1" si="136"/>
        <v>148280.63</v>
      </c>
      <c r="V314" s="10">
        <f t="shared" ca="1" si="137"/>
        <v>1126182</v>
      </c>
      <c r="W314" s="10">
        <f t="shared" ca="1" si="138"/>
        <v>889683.78</v>
      </c>
      <c r="X314" s="10">
        <f t="shared" ca="1" si="139"/>
        <v>236498.21999999997</v>
      </c>
      <c r="Y314" s="12">
        <f t="shared" ca="1" si="140"/>
        <v>0.20999999999999996</v>
      </c>
      <c r="Z314" s="2" t="str">
        <f t="shared" ca="1" si="141"/>
        <v>Concluída</v>
      </c>
      <c r="AA314" s="8">
        <f t="shared" ca="1" si="142"/>
        <v>9</v>
      </c>
      <c r="AB314" s="2">
        <f t="shared" ca="1" si="143"/>
        <v>17</v>
      </c>
      <c r="AC314" s="2">
        <f t="shared" ca="1" si="144"/>
        <v>7</v>
      </c>
    </row>
    <row r="315" spans="1:29" x14ac:dyDescent="0.25">
      <c r="A315" s="14" t="str">
        <f t="shared" si="116"/>
        <v>VND-00315</v>
      </c>
      <c r="B315" s="5">
        <f t="shared" ca="1" si="117"/>
        <v>45644</v>
      </c>
      <c r="C315" s="2">
        <f t="shared" ca="1" si="118"/>
        <v>2024</v>
      </c>
      <c r="D315" s="2" t="str">
        <f t="shared" ca="1" si="119"/>
        <v>dezembro</v>
      </c>
      <c r="E315" s="2" t="str">
        <f t="shared" ca="1" si="120"/>
        <v>2024/12</v>
      </c>
      <c r="F315" s="14" t="str">
        <f t="shared" ca="1" si="121"/>
        <v>CLI-9857</v>
      </c>
      <c r="G315" s="2" t="str">
        <f t="shared" ca="1" si="122"/>
        <v>João</v>
      </c>
      <c r="H315" s="2" t="str">
        <f t="shared" ca="1" si="123"/>
        <v>Novo</v>
      </c>
      <c r="I315" s="2" t="str">
        <f t="shared" ca="1" si="124"/>
        <v>André</v>
      </c>
      <c r="J315" s="14" t="str">
        <f t="shared" ca="1" si="125"/>
        <v>VCL-1451</v>
      </c>
      <c r="K315" s="2" t="str">
        <f t="shared" ca="1" si="126"/>
        <v>Civic</v>
      </c>
      <c r="L315" s="2" t="str">
        <f t="shared" ca="1" si="127"/>
        <v>Honda</v>
      </c>
      <c r="M315" s="2" t="str">
        <f t="shared" ca="1" si="128"/>
        <v>SUV</v>
      </c>
      <c r="N315" s="2">
        <f t="shared" ca="1" si="129"/>
        <v>2024</v>
      </c>
      <c r="O315" s="2" t="str">
        <f t="shared" ca="1" si="130"/>
        <v>Loja</v>
      </c>
      <c r="P315" s="2" t="str">
        <f t="shared" ca="1" si="131"/>
        <v>Nordeste</v>
      </c>
      <c r="Q315" s="2" t="str">
        <f t="shared" ca="1" si="132"/>
        <v>BA</v>
      </c>
      <c r="R315" s="2" t="str">
        <f t="shared" ca="1" si="133"/>
        <v>Feira de Santana</v>
      </c>
      <c r="S315" s="8">
        <f t="shared" ca="1" si="134"/>
        <v>3</v>
      </c>
      <c r="T315" s="10">
        <f t="shared" ca="1" si="135"/>
        <v>147615</v>
      </c>
      <c r="U315" s="10">
        <f t="shared" ca="1" si="136"/>
        <v>119568.15000000001</v>
      </c>
      <c r="V315" s="10">
        <f t="shared" ca="1" si="137"/>
        <v>442845</v>
      </c>
      <c r="W315" s="10">
        <f t="shared" ca="1" si="138"/>
        <v>358704.45</v>
      </c>
      <c r="X315" s="10">
        <f t="shared" ca="1" si="139"/>
        <v>84140.549999999988</v>
      </c>
      <c r="Y315" s="12">
        <f t="shared" ca="1" si="140"/>
        <v>0.18999999999999997</v>
      </c>
      <c r="Z315" s="2" t="str">
        <f t="shared" ca="1" si="141"/>
        <v>Cancelada</v>
      </c>
      <c r="AA315" s="8">
        <f t="shared" ca="1" si="142"/>
        <v>18</v>
      </c>
      <c r="AB315" s="2">
        <f t="shared" ca="1" si="143"/>
        <v>12</v>
      </c>
      <c r="AC315" s="2">
        <f t="shared" ca="1" si="144"/>
        <v>7</v>
      </c>
    </row>
    <row r="316" spans="1:29" x14ac:dyDescent="0.25">
      <c r="A316" s="14" t="str">
        <f t="shared" si="116"/>
        <v>VND-00316</v>
      </c>
      <c r="B316" s="5">
        <f t="shared" ca="1" si="117"/>
        <v>45307</v>
      </c>
      <c r="C316" s="2">
        <f t="shared" ca="1" si="118"/>
        <v>2024</v>
      </c>
      <c r="D316" s="2" t="str">
        <f t="shared" ca="1" si="119"/>
        <v>janeiro</v>
      </c>
      <c r="E316" s="2" t="str">
        <f t="shared" ca="1" si="120"/>
        <v>2024/01</v>
      </c>
      <c r="F316" s="14" t="str">
        <f t="shared" ca="1" si="121"/>
        <v>CLI-4907</v>
      </c>
      <c r="G316" s="2" t="str">
        <f t="shared" ca="1" si="122"/>
        <v>Carlos</v>
      </c>
      <c r="H316" s="2" t="str">
        <f t="shared" ca="1" si="123"/>
        <v>Novo</v>
      </c>
      <c r="I316" s="2" t="str">
        <f t="shared" ca="1" si="124"/>
        <v>Tatiane</v>
      </c>
      <c r="J316" s="14" t="str">
        <f t="shared" ca="1" si="125"/>
        <v>VCL-4567</v>
      </c>
      <c r="K316" s="2" t="str">
        <f t="shared" ca="1" si="126"/>
        <v>Compass</v>
      </c>
      <c r="L316" s="2" t="str">
        <f t="shared" ca="1" si="127"/>
        <v>Jeep</v>
      </c>
      <c r="M316" s="2" t="str">
        <f t="shared" ca="1" si="128"/>
        <v>SUV</v>
      </c>
      <c r="N316" s="2">
        <f t="shared" ca="1" si="129"/>
        <v>2017</v>
      </c>
      <c r="O316" s="2" t="str">
        <f t="shared" ca="1" si="130"/>
        <v>Online</v>
      </c>
      <c r="P316" s="2" t="str">
        <f t="shared" ca="1" si="131"/>
        <v>Norte</v>
      </c>
      <c r="Q316" s="2" t="str">
        <f t="shared" ca="1" si="132"/>
        <v>AM</v>
      </c>
      <c r="R316" s="2" t="str">
        <f t="shared" ca="1" si="133"/>
        <v>Coari</v>
      </c>
      <c r="S316" s="8">
        <f t="shared" ca="1" si="134"/>
        <v>7</v>
      </c>
      <c r="T316" s="10">
        <f t="shared" ca="1" si="135"/>
        <v>79510</v>
      </c>
      <c r="U316" s="10">
        <f t="shared" ca="1" si="136"/>
        <v>65198.2</v>
      </c>
      <c r="V316" s="10">
        <f t="shared" ca="1" si="137"/>
        <v>556570</v>
      </c>
      <c r="W316" s="10">
        <f t="shared" ca="1" si="138"/>
        <v>456387.39999999997</v>
      </c>
      <c r="X316" s="10">
        <f t="shared" ca="1" si="139"/>
        <v>100182.60000000003</v>
      </c>
      <c r="Y316" s="12">
        <f t="shared" ca="1" si="140"/>
        <v>0.18000000000000008</v>
      </c>
      <c r="Z316" s="2" t="str">
        <f t="shared" ca="1" si="141"/>
        <v>Em negociação</v>
      </c>
      <c r="AA316" s="8">
        <f t="shared" ca="1" si="142"/>
        <v>18</v>
      </c>
      <c r="AB316" s="2">
        <f t="shared" ca="1" si="143"/>
        <v>7</v>
      </c>
      <c r="AC316" s="2">
        <f t="shared" ca="1" si="144"/>
        <v>7</v>
      </c>
    </row>
    <row r="317" spans="1:29" x14ac:dyDescent="0.25">
      <c r="A317" s="14" t="str">
        <f t="shared" si="116"/>
        <v>VND-00317</v>
      </c>
      <c r="B317" s="5">
        <f t="shared" ca="1" si="117"/>
        <v>45623</v>
      </c>
      <c r="C317" s="2">
        <f t="shared" ca="1" si="118"/>
        <v>2024</v>
      </c>
      <c r="D317" s="2" t="str">
        <f t="shared" ca="1" si="119"/>
        <v>novembro</v>
      </c>
      <c r="E317" s="2" t="str">
        <f t="shared" ca="1" si="120"/>
        <v>2024/11</v>
      </c>
      <c r="F317" s="14" t="str">
        <f t="shared" ca="1" si="121"/>
        <v>CLI-4961</v>
      </c>
      <c r="G317" s="2" t="str">
        <f t="shared" ca="1" si="122"/>
        <v>Ana</v>
      </c>
      <c r="H317" s="2" t="str">
        <f t="shared" ca="1" si="123"/>
        <v>Novo</v>
      </c>
      <c r="I317" s="2" t="str">
        <f t="shared" ca="1" si="124"/>
        <v>Ricardo</v>
      </c>
      <c r="J317" s="14" t="str">
        <f t="shared" ca="1" si="125"/>
        <v>VCL-4656</v>
      </c>
      <c r="K317" s="2" t="str">
        <f t="shared" ca="1" si="126"/>
        <v>HB20</v>
      </c>
      <c r="L317" s="2" t="str">
        <f t="shared" ca="1" si="127"/>
        <v>Hyundai</v>
      </c>
      <c r="M317" s="2" t="str">
        <f t="shared" ca="1" si="128"/>
        <v>Popular</v>
      </c>
      <c r="N317" s="2">
        <f t="shared" ca="1" si="129"/>
        <v>2021</v>
      </c>
      <c r="O317" s="2" t="str">
        <f t="shared" ca="1" si="130"/>
        <v>Online</v>
      </c>
      <c r="P317" s="2" t="str">
        <f t="shared" ca="1" si="131"/>
        <v>Norte</v>
      </c>
      <c r="Q317" s="2" t="str">
        <f t="shared" ca="1" si="132"/>
        <v>PA</v>
      </c>
      <c r="R317" s="2" t="str">
        <f t="shared" ca="1" si="133"/>
        <v>Belém</v>
      </c>
      <c r="S317" s="8">
        <f t="shared" ca="1" si="134"/>
        <v>8</v>
      </c>
      <c r="T317" s="10">
        <f t="shared" ca="1" si="135"/>
        <v>219025</v>
      </c>
      <c r="U317" s="10">
        <f t="shared" ca="1" si="136"/>
        <v>162078.5</v>
      </c>
      <c r="V317" s="10">
        <f t="shared" ca="1" si="137"/>
        <v>1752200</v>
      </c>
      <c r="W317" s="10">
        <f t="shared" ca="1" si="138"/>
        <v>1296628</v>
      </c>
      <c r="X317" s="10">
        <f t="shared" ca="1" si="139"/>
        <v>455572</v>
      </c>
      <c r="Y317" s="12">
        <f t="shared" ca="1" si="140"/>
        <v>0.26</v>
      </c>
      <c r="Z317" s="2" t="str">
        <f t="shared" ca="1" si="141"/>
        <v>Cancelada</v>
      </c>
      <c r="AA317" s="8">
        <f t="shared" ca="1" si="142"/>
        <v>9</v>
      </c>
      <c r="AB317" s="2">
        <f t="shared" ca="1" si="143"/>
        <v>19</v>
      </c>
      <c r="AC317" s="2">
        <f t="shared" ca="1" si="144"/>
        <v>10</v>
      </c>
    </row>
    <row r="318" spans="1:29" x14ac:dyDescent="0.25">
      <c r="A318" s="14" t="str">
        <f t="shared" si="116"/>
        <v>VND-00318</v>
      </c>
      <c r="B318" s="5">
        <f t="shared" ca="1" si="117"/>
        <v>45569</v>
      </c>
      <c r="C318" s="2">
        <f t="shared" ca="1" si="118"/>
        <v>2024</v>
      </c>
      <c r="D318" s="2" t="str">
        <f t="shared" ca="1" si="119"/>
        <v>outubro</v>
      </c>
      <c r="E318" s="2" t="str">
        <f t="shared" ca="1" si="120"/>
        <v>2024/10</v>
      </c>
      <c r="F318" s="14" t="str">
        <f t="shared" ca="1" si="121"/>
        <v>CLI-3750</v>
      </c>
      <c r="G318" s="2" t="str">
        <f t="shared" ca="1" si="122"/>
        <v>Ana</v>
      </c>
      <c r="H318" s="2" t="str">
        <f t="shared" ca="1" si="123"/>
        <v>Novo</v>
      </c>
      <c r="I318" s="2" t="str">
        <f t="shared" ca="1" si="124"/>
        <v>Ricardo</v>
      </c>
      <c r="J318" s="14" t="str">
        <f t="shared" ca="1" si="125"/>
        <v>VCL-7364</v>
      </c>
      <c r="K318" s="2" t="str">
        <f t="shared" ca="1" si="126"/>
        <v>HB20</v>
      </c>
      <c r="L318" s="2" t="str">
        <f t="shared" ca="1" si="127"/>
        <v>Hyundai</v>
      </c>
      <c r="M318" s="2" t="str">
        <f t="shared" ca="1" si="128"/>
        <v>Popular</v>
      </c>
      <c r="N318" s="2">
        <f t="shared" ca="1" si="129"/>
        <v>2017</v>
      </c>
      <c r="O318" s="2" t="str">
        <f t="shared" ca="1" si="130"/>
        <v>Loja</v>
      </c>
      <c r="P318" s="2" t="str">
        <f t="shared" ca="1" si="131"/>
        <v>Norte</v>
      </c>
      <c r="Q318" s="2" t="str">
        <f t="shared" ca="1" si="132"/>
        <v>AM</v>
      </c>
      <c r="R318" s="2" t="str">
        <f t="shared" ca="1" si="133"/>
        <v>Manaus</v>
      </c>
      <c r="S318" s="8">
        <f t="shared" ca="1" si="134"/>
        <v>5</v>
      </c>
      <c r="T318" s="10">
        <f t="shared" ca="1" si="135"/>
        <v>240865</v>
      </c>
      <c r="U318" s="10">
        <f t="shared" ca="1" si="136"/>
        <v>204735.25</v>
      </c>
      <c r="V318" s="10">
        <f t="shared" ca="1" si="137"/>
        <v>1204325</v>
      </c>
      <c r="W318" s="10">
        <f t="shared" ca="1" si="138"/>
        <v>1023676.25</v>
      </c>
      <c r="X318" s="10">
        <f t="shared" ca="1" si="139"/>
        <v>180648.75</v>
      </c>
      <c r="Y318" s="12">
        <f t="shared" ca="1" si="140"/>
        <v>0.15</v>
      </c>
      <c r="Z318" s="2" t="str">
        <f t="shared" ca="1" si="141"/>
        <v>Concluída</v>
      </c>
      <c r="AA318" s="8">
        <f t="shared" ca="1" si="142"/>
        <v>19</v>
      </c>
      <c r="AB318" s="2">
        <f t="shared" ca="1" si="143"/>
        <v>26</v>
      </c>
      <c r="AC318" s="2">
        <f t="shared" ca="1" si="144"/>
        <v>10</v>
      </c>
    </row>
    <row r="319" spans="1:29" x14ac:dyDescent="0.25">
      <c r="A319" s="14" t="str">
        <f t="shared" si="116"/>
        <v>VND-00319</v>
      </c>
      <c r="B319" s="5">
        <f t="shared" ca="1" si="117"/>
        <v>45880</v>
      </c>
      <c r="C319" s="2">
        <f t="shared" ca="1" si="118"/>
        <v>2025</v>
      </c>
      <c r="D319" s="2" t="str">
        <f t="shared" ca="1" si="119"/>
        <v>agosto</v>
      </c>
      <c r="E319" s="2" t="str">
        <f t="shared" ca="1" si="120"/>
        <v>2025/08</v>
      </c>
      <c r="F319" s="14" t="str">
        <f t="shared" ca="1" si="121"/>
        <v>CLI-4763</v>
      </c>
      <c r="G319" s="2" t="str">
        <f t="shared" ca="1" si="122"/>
        <v>Ana</v>
      </c>
      <c r="H319" s="2" t="str">
        <f t="shared" ca="1" si="123"/>
        <v>Novo</v>
      </c>
      <c r="I319" s="2" t="str">
        <f t="shared" ca="1" si="124"/>
        <v>Carla</v>
      </c>
      <c r="J319" s="14" t="str">
        <f t="shared" ca="1" si="125"/>
        <v>VCL-3180</v>
      </c>
      <c r="K319" s="2" t="str">
        <f t="shared" ca="1" si="126"/>
        <v>HB20</v>
      </c>
      <c r="L319" s="2" t="str">
        <f t="shared" ca="1" si="127"/>
        <v>Hyundai</v>
      </c>
      <c r="M319" s="2" t="str">
        <f t="shared" ca="1" si="128"/>
        <v>Popular</v>
      </c>
      <c r="N319" s="2">
        <f t="shared" ca="1" si="129"/>
        <v>2019</v>
      </c>
      <c r="O319" s="2" t="str">
        <f t="shared" ca="1" si="130"/>
        <v>Online</v>
      </c>
      <c r="P319" s="2" t="str">
        <f t="shared" ca="1" si="131"/>
        <v>Sul</v>
      </c>
      <c r="Q319" s="2" t="str">
        <f t="shared" ca="1" si="132"/>
        <v>SC</v>
      </c>
      <c r="R319" s="2" t="str">
        <f t="shared" ca="1" si="133"/>
        <v>Florianópolis</v>
      </c>
      <c r="S319" s="8">
        <f t="shared" ca="1" si="134"/>
        <v>10</v>
      </c>
      <c r="T319" s="10">
        <f t="shared" ca="1" si="135"/>
        <v>108539</v>
      </c>
      <c r="U319" s="10">
        <f t="shared" ca="1" si="136"/>
        <v>75977.299999999988</v>
      </c>
      <c r="V319" s="10">
        <f t="shared" ca="1" si="137"/>
        <v>1085390</v>
      </c>
      <c r="W319" s="10">
        <f t="shared" ca="1" si="138"/>
        <v>759772.99999999988</v>
      </c>
      <c r="X319" s="10">
        <f t="shared" ca="1" si="139"/>
        <v>325617.00000000012</v>
      </c>
      <c r="Y319" s="12">
        <f t="shared" ca="1" si="140"/>
        <v>0.3000000000000001</v>
      </c>
      <c r="Z319" s="2" t="str">
        <f t="shared" ca="1" si="141"/>
        <v>Em negociação</v>
      </c>
      <c r="AA319" s="8">
        <f t="shared" ca="1" si="142"/>
        <v>26</v>
      </c>
      <c r="AB319" s="2">
        <f t="shared" ca="1" si="143"/>
        <v>17</v>
      </c>
      <c r="AC319" s="2">
        <f t="shared" ca="1" si="144"/>
        <v>10</v>
      </c>
    </row>
    <row r="320" spans="1:29" x14ac:dyDescent="0.25">
      <c r="A320" s="14" t="str">
        <f t="shared" si="116"/>
        <v>VND-00320</v>
      </c>
      <c r="B320" s="5">
        <f t="shared" ca="1" si="117"/>
        <v>45825</v>
      </c>
      <c r="C320" s="2">
        <f t="shared" ca="1" si="118"/>
        <v>2025</v>
      </c>
      <c r="D320" s="2" t="str">
        <f t="shared" ca="1" si="119"/>
        <v>junho</v>
      </c>
      <c r="E320" s="2" t="str">
        <f t="shared" ca="1" si="120"/>
        <v>2025/06</v>
      </c>
      <c r="F320" s="14" t="str">
        <f t="shared" ca="1" si="121"/>
        <v>CLI-8293</v>
      </c>
      <c r="G320" s="2" t="str">
        <f t="shared" ca="1" si="122"/>
        <v>João</v>
      </c>
      <c r="H320" s="2" t="str">
        <f t="shared" ca="1" si="123"/>
        <v>Novo</v>
      </c>
      <c r="I320" s="2" t="str">
        <f t="shared" ca="1" si="124"/>
        <v>Larissa</v>
      </c>
      <c r="J320" s="14" t="str">
        <f t="shared" ca="1" si="125"/>
        <v>VCL-1777</v>
      </c>
      <c r="K320" s="2" t="str">
        <f t="shared" ca="1" si="126"/>
        <v>BMW X1</v>
      </c>
      <c r="L320" s="2" t="str">
        <f t="shared" ca="1" si="127"/>
        <v>BMW</v>
      </c>
      <c r="M320" s="2" t="str">
        <f t="shared" ca="1" si="128"/>
        <v>Luxo</v>
      </c>
      <c r="N320" s="2">
        <f t="shared" ca="1" si="129"/>
        <v>2024</v>
      </c>
      <c r="O320" s="2" t="str">
        <f t="shared" ca="1" si="130"/>
        <v>Loja</v>
      </c>
      <c r="P320" s="2" t="str">
        <f t="shared" ca="1" si="131"/>
        <v>Centro-Oeste</v>
      </c>
      <c r="Q320" s="2" t="str">
        <f t="shared" ca="1" si="132"/>
        <v>MT</v>
      </c>
      <c r="R320" s="2" t="str">
        <f t="shared" ca="1" si="133"/>
        <v>Tangará da Serra</v>
      </c>
      <c r="S320" s="8">
        <f t="shared" ca="1" si="134"/>
        <v>4</v>
      </c>
      <c r="T320" s="10">
        <f t="shared" ca="1" si="135"/>
        <v>173095</v>
      </c>
      <c r="U320" s="10">
        <f t="shared" ca="1" si="136"/>
        <v>143668.85</v>
      </c>
      <c r="V320" s="10">
        <f t="shared" ca="1" si="137"/>
        <v>692380</v>
      </c>
      <c r="W320" s="10">
        <f t="shared" ca="1" si="138"/>
        <v>574675.4</v>
      </c>
      <c r="X320" s="10">
        <f t="shared" ca="1" si="139"/>
        <v>117704.59999999998</v>
      </c>
      <c r="Y320" s="12">
        <f t="shared" ca="1" si="140"/>
        <v>0.16999999999999996</v>
      </c>
      <c r="Z320" s="2" t="str">
        <f t="shared" ca="1" si="141"/>
        <v>Concluída</v>
      </c>
      <c r="AA320" s="8">
        <f t="shared" ca="1" si="142"/>
        <v>18</v>
      </c>
      <c r="AB320" s="2">
        <f t="shared" ca="1" si="143"/>
        <v>0</v>
      </c>
      <c r="AC320" s="2">
        <f t="shared" ca="1" si="144"/>
        <v>3</v>
      </c>
    </row>
    <row r="321" spans="1:29" x14ac:dyDescent="0.25">
      <c r="A321" s="14" t="str">
        <f t="shared" si="116"/>
        <v>VND-00321</v>
      </c>
      <c r="B321" s="5">
        <f t="shared" ca="1" si="117"/>
        <v>45779</v>
      </c>
      <c r="C321" s="2">
        <f t="shared" ca="1" si="118"/>
        <v>2025</v>
      </c>
      <c r="D321" s="2" t="str">
        <f t="shared" ca="1" si="119"/>
        <v>maio</v>
      </c>
      <c r="E321" s="2" t="str">
        <f t="shared" ca="1" si="120"/>
        <v>2025/05</v>
      </c>
      <c r="F321" s="14" t="str">
        <f t="shared" ca="1" si="121"/>
        <v>CLI-1680</v>
      </c>
      <c r="G321" s="2" t="str">
        <f t="shared" ca="1" si="122"/>
        <v>Ana</v>
      </c>
      <c r="H321" s="2" t="str">
        <f t="shared" ca="1" si="123"/>
        <v>Recorrente</v>
      </c>
      <c r="I321" s="2" t="str">
        <f t="shared" ca="1" si="124"/>
        <v>Camila</v>
      </c>
      <c r="J321" s="14" t="str">
        <f t="shared" ca="1" si="125"/>
        <v>VCL-7292</v>
      </c>
      <c r="K321" s="2" t="str">
        <f t="shared" ca="1" si="126"/>
        <v>HB20</v>
      </c>
      <c r="L321" s="2" t="str">
        <f t="shared" ca="1" si="127"/>
        <v>Hyundai</v>
      </c>
      <c r="M321" s="2" t="str">
        <f t="shared" ca="1" si="128"/>
        <v>Popular</v>
      </c>
      <c r="N321" s="2">
        <f t="shared" ca="1" si="129"/>
        <v>2024</v>
      </c>
      <c r="O321" s="2" t="str">
        <f t="shared" ca="1" si="130"/>
        <v>Loja</v>
      </c>
      <c r="P321" s="2" t="str">
        <f t="shared" ca="1" si="131"/>
        <v>Centro-Oeste</v>
      </c>
      <c r="Q321" s="2" t="str">
        <f t="shared" ca="1" si="132"/>
        <v>MT</v>
      </c>
      <c r="R321" s="2" t="str">
        <f t="shared" ca="1" si="133"/>
        <v>Tangará da Serra</v>
      </c>
      <c r="S321" s="8">
        <f t="shared" ca="1" si="134"/>
        <v>2</v>
      </c>
      <c r="T321" s="10">
        <f t="shared" ca="1" si="135"/>
        <v>122490</v>
      </c>
      <c r="U321" s="10">
        <f t="shared" ca="1" si="136"/>
        <v>102891.59999999999</v>
      </c>
      <c r="V321" s="10">
        <f t="shared" ca="1" si="137"/>
        <v>244980</v>
      </c>
      <c r="W321" s="10">
        <f t="shared" ca="1" si="138"/>
        <v>205783.19999999998</v>
      </c>
      <c r="X321" s="10">
        <f t="shared" ca="1" si="139"/>
        <v>39196.800000000017</v>
      </c>
      <c r="Y321" s="12">
        <f t="shared" ca="1" si="140"/>
        <v>0.16000000000000006</v>
      </c>
      <c r="Z321" s="2" t="str">
        <f t="shared" ca="1" si="141"/>
        <v>Em negociação</v>
      </c>
      <c r="AA321" s="8">
        <f t="shared" ca="1" si="142"/>
        <v>23</v>
      </c>
      <c r="AB321" s="2">
        <f t="shared" ca="1" si="143"/>
        <v>19</v>
      </c>
      <c r="AC321" s="2">
        <f t="shared" ca="1" si="144"/>
        <v>10</v>
      </c>
    </row>
    <row r="322" spans="1:29" x14ac:dyDescent="0.25">
      <c r="A322" s="14" t="str">
        <f t="shared" si="116"/>
        <v>VND-00322</v>
      </c>
      <c r="B322" s="5">
        <f t="shared" ca="1" si="117"/>
        <v>45588</v>
      </c>
      <c r="C322" s="2">
        <f t="shared" ca="1" si="118"/>
        <v>2024</v>
      </c>
      <c r="D322" s="2" t="str">
        <f t="shared" ca="1" si="119"/>
        <v>outubro</v>
      </c>
      <c r="E322" s="2" t="str">
        <f t="shared" ca="1" si="120"/>
        <v>2024/10</v>
      </c>
      <c r="F322" s="14" t="str">
        <f t="shared" ca="1" si="121"/>
        <v>CLI-2847</v>
      </c>
      <c r="G322" s="2" t="str">
        <f t="shared" ca="1" si="122"/>
        <v>Rafael</v>
      </c>
      <c r="H322" s="2" t="str">
        <f t="shared" ca="1" si="123"/>
        <v>Novo</v>
      </c>
      <c r="I322" s="2" t="str">
        <f t="shared" ca="1" si="124"/>
        <v>Ana</v>
      </c>
      <c r="J322" s="14" t="str">
        <f t="shared" ca="1" si="125"/>
        <v>VCL-8449</v>
      </c>
      <c r="K322" s="2" t="str">
        <f t="shared" ca="1" si="126"/>
        <v>Onix</v>
      </c>
      <c r="L322" s="2" t="str">
        <f t="shared" ca="1" si="127"/>
        <v>Chevrolet</v>
      </c>
      <c r="M322" s="2" t="str">
        <f t="shared" ca="1" si="128"/>
        <v>Popular</v>
      </c>
      <c r="N322" s="2">
        <f t="shared" ca="1" si="129"/>
        <v>2015</v>
      </c>
      <c r="O322" s="2" t="str">
        <f t="shared" ca="1" si="130"/>
        <v>Loja</v>
      </c>
      <c r="P322" s="2" t="str">
        <f t="shared" ca="1" si="131"/>
        <v>Sudeste</v>
      </c>
      <c r="Q322" s="2" t="str">
        <f t="shared" ca="1" si="132"/>
        <v>MG</v>
      </c>
      <c r="R322" s="2" t="str">
        <f t="shared" ca="1" si="133"/>
        <v>Juiz de Fora</v>
      </c>
      <c r="S322" s="8">
        <f t="shared" ca="1" si="134"/>
        <v>7</v>
      </c>
      <c r="T322" s="10">
        <f t="shared" ca="1" si="135"/>
        <v>76574</v>
      </c>
      <c r="U322" s="10">
        <f t="shared" ca="1" si="136"/>
        <v>54367.54</v>
      </c>
      <c r="V322" s="10">
        <f t="shared" ca="1" si="137"/>
        <v>536018</v>
      </c>
      <c r="W322" s="10">
        <f t="shared" ca="1" si="138"/>
        <v>380572.78</v>
      </c>
      <c r="X322" s="10">
        <f t="shared" ca="1" si="139"/>
        <v>155445.21999999997</v>
      </c>
      <c r="Y322" s="12">
        <f t="shared" ca="1" si="140"/>
        <v>0.28999999999999992</v>
      </c>
      <c r="Z322" s="2" t="str">
        <f t="shared" ca="1" si="141"/>
        <v>Concluída</v>
      </c>
      <c r="AA322" s="8">
        <f t="shared" ca="1" si="142"/>
        <v>7</v>
      </c>
      <c r="AB322" s="2">
        <f t="shared" ca="1" si="143"/>
        <v>11</v>
      </c>
      <c r="AC322" s="2">
        <f t="shared" ca="1" si="144"/>
        <v>10</v>
      </c>
    </row>
    <row r="323" spans="1:29" x14ac:dyDescent="0.25">
      <c r="A323" s="14" t="str">
        <f t="shared" ref="A323:A386" si="145">"VND-"&amp;TEXT(ROW(A323),"00000")</f>
        <v>VND-00323</v>
      </c>
      <c r="B323" s="5">
        <f t="shared" ref="B323:B386" ca="1" si="146">DATE(RANDBETWEEN(2023,2025),RANDBETWEEN(1,12),RANDBETWEEN(1,28))</f>
        <v>45809</v>
      </c>
      <c r="C323" s="2">
        <f t="shared" ref="C323:C386" ca="1" si="147">YEAR(B323)</f>
        <v>2025</v>
      </c>
      <c r="D323" s="2" t="str">
        <f t="shared" ref="D323:D386" ca="1" si="148">TEXT(B323,"mmmm")</f>
        <v>junho</v>
      </c>
      <c r="E323" s="2" t="str">
        <f t="shared" ref="E323:E386" ca="1" si="149">YEAR(B323)&amp;"/"&amp;TEXT(MONTH(B323),"00")</f>
        <v>2025/06</v>
      </c>
      <c r="F323" s="14" t="str">
        <f t="shared" ref="F323:F386" ca="1" si="150">"CLI-"&amp;RANDBETWEEN(1000,9999)</f>
        <v>CLI-9838</v>
      </c>
      <c r="G323" s="2" t="str">
        <f t="shared" ref="G323:G386" ca="1" si="151">CHOOSE(RANDBETWEEN(1,8),
"João","Maria","Carlos","Ana",
"Lucas","Fernanda","Rafael","Juliana")</f>
        <v>Fernanda</v>
      </c>
      <c r="H323" s="2" t="str">
        <f t="shared" ref="H323:H386" ca="1" si="152">IF(RANDBETWEEN(1,10)&gt;6,"Recorrente","Novo")</f>
        <v>Recorrente</v>
      </c>
      <c r="I323" s="2" t="str">
        <f t="shared" ref="I323:I386" ca="1" si="153">IF(P323="Sudeste",CHOOSE(RANDBETWEEN(1,5),"João","Maria","Pedro","Ana","Lucas"),
IF(P323="Sul",CHOOSE(RANDBETWEEN(1,5),"Bruno","Carla","Rafael","Juliana","Marcos"),
IF(P323="Nordeste",CHOOSE(RANDBETWEEN(1,5),"Diego","Fernanda","Roberto","Patricia","André"),
IF(P323="Norte",CHOOSE(RANDBETWEEN(1,5),"Carlos","Amanda","Ricardo","Tatiane","Felipe"),
IF(P323="Centro-Oeste",CHOOSE(RANDBETWEEN(1,5),"Gustavo","Camila","Vinicius","Larissa","Eduardo"),
"")))))</f>
        <v>Carla</v>
      </c>
      <c r="J323" s="14" t="str">
        <f t="shared" ref="J323:J386" ca="1" si="154">"VCL-"&amp;RANDBETWEEN(1000,9999)</f>
        <v>VCL-6565</v>
      </c>
      <c r="K323" s="2" t="str">
        <f t="shared" ref="K323:K386" ca="1" si="155">CHOOSE(RANDBETWEEN(1,6),
"Onix","HB20","Corolla","Civic","Compass","BMW X1")</f>
        <v>BMW X1</v>
      </c>
      <c r="L323" s="2" t="str">
        <f t="shared" ref="L323:L386" ca="1" si="156">IF(OR(K323="Onix",K323="Tracker"),"Chevrolet",
IF(OR(K323="HB20"),"Hyundai",
IF(OR(K323="Corolla"),"Toyota",
IF(OR(K323="Civic"),"Honda",
IF(OR(K323="Compass"),"Jeep",
"BMW")))))</f>
        <v>BMW</v>
      </c>
      <c r="M323" s="2" t="str">
        <f t="shared" ref="M323:M386" ca="1" si="157">IF(OR(K323="Onix",K323="HB20"),"Popular",
IF(OR(K323="Corolla",K323="Civic"),"SUV",
IF(K323="Compass","SUV",
IF(K323="BMW X1","Luxo","Esportivo"))))</f>
        <v>Luxo</v>
      </c>
      <c r="N323" s="2">
        <f t="shared" ref="N323:N386" ca="1" si="158">IF(RANDBETWEEN(1,10)&lt;=7,RANDBETWEEN(2020,2024),RANDBETWEEN(2015,2019))</f>
        <v>2018</v>
      </c>
      <c r="O323" s="2" t="str">
        <f t="shared" ref="O323:O386" ca="1" si="159">IF(RANDBETWEEN(1,10)&lt;=7,"Loja","Online")</f>
        <v>Online</v>
      </c>
      <c r="P323" s="2" t="str">
        <f t="shared" ref="P323:P386" ca="1" si="160">CHOOSE(RANDBETWEEN(1,5),"Sudeste","Sul","Nordeste","Norte","Centro-Oeste")</f>
        <v>Sul</v>
      </c>
      <c r="Q323" s="2" t="str">
        <f t="shared" ref="Q323:Q386" ca="1" si="161">IF(P323="Sudeste",CHOOSE(RANDBETWEEN(1,4),"SP","RJ","MG","ES"),
IF(P323="Sul",CHOOSE(RANDBETWEEN(1,3),"PR","SC","RS"),
IF(P323="Nordeste",CHOOSE(RANDBETWEEN(1,3),"BA","PE","CE"),
IF(P323="Centro-Oeste",CHOOSE(RANDBETWEEN(1,3),"GO","MT","DF"),
IF(P323="Norte",CHOOSE(RANDBETWEEN(1,2),"AM","PA"),
"GO")))))</f>
        <v>PR</v>
      </c>
      <c r="R323" s="2" t="str">
        <f t="shared" ref="R323:R386" ca="1" si="162">IF(Q323="SP",CHOOSE(RANDBETWEEN(1,5),"São Paulo","Campinas","Santos","Sorocaba","Ribeirão Preto"),
IF(Q323="RJ",CHOOSE(RANDBETWEEN(1,5),"Rio de Janeiro","Niterói","Duque de Caxias","Nova Iguaçu","Petrópolis"),
IF(Q323="MG",CHOOSE(RANDBETWEEN(1,5),"Belo Horizonte","Uberlândia","Contagem","Juiz de Fora","Betim"),
IF(Q323="ES",CHOOSE(RANDBETWEEN(1,5),"Vitória","Vila Velha","Serra","Cariacica","Linhares"),
IF(Q323="PR",CHOOSE(RANDBETWEEN(1,5),"Curitiba","Londrina","Maringá","Ponta Grossa","Cascavel"),
IF(Q323="SC",CHOOSE(RANDBETWEEN(1,5),"Florianópolis","Joinville","Blumenau","Itajaí","Chapecó"),
IF(Q323="RS",CHOOSE(RANDBETWEEN(1,5),"Porto Alegre","Caxias do Sul","Pelotas","Canoas","Santa Maria"),
IF(Q323="BA",CHOOSE(RANDBETWEEN(1,5),"Salvador","Feira de Santana","Vitória da Conquista","Camaçari","Ilhéus"),
IF(Q323="PE",CHOOSE(RANDBETWEEN(1,5),"Recife","Olinda","Jaboatão","Caruaru","Petrolina"),
IF(Q323="CE",CHOOSE(RANDBETWEEN(1,5),"Fortaleza","Caucaia","Juazeiro do Norte","Sobral","Maracanaú"),
IF(Q323="MT",CHOOSE(RANDBETWEEN(1,5),"Cuiabá","Várzea Grande","Rondonópolis","Sinop","Tangará da Serra"),
IF(Q323="DF",CHOOSE(RANDBETWEEN(1,5),"Brasília","Ceilândia","Taguatinga","Samambaia","Planaltina"),
IF(Q323="AM",CHOOSE(RANDBETWEEN(1,5),"Manaus","Parintins","Itacoatiara","Manacapuru","Coari"),
IF(Q323="PA",CHOOSE(RANDBETWEEN(1,5),"Belém","Ananindeua","Santarém","Marabá","Castanhal"),
IF(Q323="GO",CHOOSE(RANDBETWEEN(1,5),"Goiânia","Aparecida de Goiânia","Anápolis","Rio Verde","Luziânia"),
"")))))))))))))))</f>
        <v>Ponta Grossa</v>
      </c>
      <c r="S323" s="8">
        <f t="shared" ref="S323:S386" ca="1" si="163">RANDBETWEEN(1,10)</f>
        <v>4</v>
      </c>
      <c r="T323" s="10">
        <f t="shared" ref="T323:T386" ca="1" si="164">RANDBETWEEN(60000,250000)</f>
        <v>135127</v>
      </c>
      <c r="U323" s="10">
        <f t="shared" ref="U323:U386" ca="1" si="165">T323*(RANDBETWEEN(70,85)/100)</f>
        <v>102696.52</v>
      </c>
      <c r="V323" s="10">
        <f t="shared" ref="V323:V386" ca="1" si="166">S323*T323</f>
        <v>540508</v>
      </c>
      <c r="W323" s="10">
        <f t="shared" ref="W323:W386" ca="1" si="167">S323*U323</f>
        <v>410786.08</v>
      </c>
      <c r="X323" s="10">
        <f t="shared" ref="X323:X386" ca="1" si="168">V323-W323</f>
        <v>129721.91999999998</v>
      </c>
      <c r="Y323" s="12">
        <f t="shared" ref="Y323:Y386" ca="1" si="169">X323/V323</f>
        <v>0.23999999999999996</v>
      </c>
      <c r="Z323" s="2" t="str">
        <f t="shared" ref="Z323:Z386" ca="1" si="170">CHOOSE(RANDBETWEEN(1,3),
"Concluída","Cancelada","Em negociação")</f>
        <v>Em negociação</v>
      </c>
      <c r="AA323" s="8">
        <f t="shared" ref="AA323:AA386" ca="1" si="171">RANDBETWEEN(1,30)</f>
        <v>13</v>
      </c>
      <c r="AB323" s="2">
        <f t="shared" ref="AB323:AB386" ca="1" si="172">IF(M323="Popular",RANDBETWEEN(10,30),
IF(M323="SUV",RANDBETWEEN(5,20),
IF(M323="Luxo",RANDBETWEEN(0,10),
RANDBETWEEN(2,15))))</f>
        <v>1</v>
      </c>
      <c r="AC323" s="2">
        <f t="shared" ref="AC323:AC386" ca="1" si="173">IF(M323="Popular",10,
IF(M323="SUV",7,
IF(M323="Luxo",3,5)))</f>
        <v>3</v>
      </c>
    </row>
    <row r="324" spans="1:29" x14ac:dyDescent="0.25">
      <c r="A324" s="14" t="str">
        <f t="shared" si="145"/>
        <v>VND-00324</v>
      </c>
      <c r="B324" s="5">
        <f t="shared" ca="1" si="146"/>
        <v>45822</v>
      </c>
      <c r="C324" s="2">
        <f t="shared" ca="1" si="147"/>
        <v>2025</v>
      </c>
      <c r="D324" s="2" t="str">
        <f t="shared" ca="1" si="148"/>
        <v>junho</v>
      </c>
      <c r="E324" s="2" t="str">
        <f t="shared" ca="1" si="149"/>
        <v>2025/06</v>
      </c>
      <c r="F324" s="14" t="str">
        <f t="shared" ca="1" si="150"/>
        <v>CLI-7159</v>
      </c>
      <c r="G324" s="2" t="str">
        <f t="shared" ca="1" si="151"/>
        <v>Carlos</v>
      </c>
      <c r="H324" s="2" t="str">
        <f t="shared" ca="1" si="152"/>
        <v>Novo</v>
      </c>
      <c r="I324" s="2" t="str">
        <f t="shared" ca="1" si="153"/>
        <v>Pedro</v>
      </c>
      <c r="J324" s="14" t="str">
        <f t="shared" ca="1" si="154"/>
        <v>VCL-8022</v>
      </c>
      <c r="K324" s="2" t="str">
        <f t="shared" ca="1" si="155"/>
        <v>HB20</v>
      </c>
      <c r="L324" s="2" t="str">
        <f t="shared" ca="1" si="156"/>
        <v>Hyundai</v>
      </c>
      <c r="M324" s="2" t="str">
        <f t="shared" ca="1" si="157"/>
        <v>Popular</v>
      </c>
      <c r="N324" s="2">
        <f t="shared" ca="1" si="158"/>
        <v>2021</v>
      </c>
      <c r="O324" s="2" t="str">
        <f t="shared" ca="1" si="159"/>
        <v>Loja</v>
      </c>
      <c r="P324" s="2" t="str">
        <f t="shared" ca="1" si="160"/>
        <v>Sudeste</v>
      </c>
      <c r="Q324" s="2" t="str">
        <f t="shared" ca="1" si="161"/>
        <v>ES</v>
      </c>
      <c r="R324" s="2" t="str">
        <f t="shared" ca="1" si="162"/>
        <v>Cariacica</v>
      </c>
      <c r="S324" s="8">
        <f t="shared" ca="1" si="163"/>
        <v>6</v>
      </c>
      <c r="T324" s="10">
        <f t="shared" ca="1" si="164"/>
        <v>198870</v>
      </c>
      <c r="U324" s="10">
        <f t="shared" ca="1" si="165"/>
        <v>163073.4</v>
      </c>
      <c r="V324" s="10">
        <f t="shared" ca="1" si="166"/>
        <v>1193220</v>
      </c>
      <c r="W324" s="10">
        <f t="shared" ca="1" si="167"/>
        <v>978440.39999999991</v>
      </c>
      <c r="X324" s="10">
        <f t="shared" ca="1" si="168"/>
        <v>214779.60000000009</v>
      </c>
      <c r="Y324" s="12">
        <f t="shared" ca="1" si="169"/>
        <v>0.18000000000000008</v>
      </c>
      <c r="Z324" s="2" t="str">
        <f t="shared" ca="1" si="170"/>
        <v>Cancelada</v>
      </c>
      <c r="AA324" s="8">
        <f t="shared" ca="1" si="171"/>
        <v>19</v>
      </c>
      <c r="AB324" s="2">
        <f t="shared" ca="1" si="172"/>
        <v>19</v>
      </c>
      <c r="AC324" s="2">
        <f t="shared" ca="1" si="173"/>
        <v>10</v>
      </c>
    </row>
    <row r="325" spans="1:29" x14ac:dyDescent="0.25">
      <c r="A325" s="14" t="str">
        <f t="shared" si="145"/>
        <v>VND-00325</v>
      </c>
      <c r="B325" s="5">
        <f t="shared" ca="1" si="146"/>
        <v>45353</v>
      </c>
      <c r="C325" s="2">
        <f t="shared" ca="1" si="147"/>
        <v>2024</v>
      </c>
      <c r="D325" s="2" t="str">
        <f t="shared" ca="1" si="148"/>
        <v>março</v>
      </c>
      <c r="E325" s="2" t="str">
        <f t="shared" ca="1" si="149"/>
        <v>2024/03</v>
      </c>
      <c r="F325" s="14" t="str">
        <f t="shared" ca="1" si="150"/>
        <v>CLI-9941</v>
      </c>
      <c r="G325" s="2" t="str">
        <f t="shared" ca="1" si="151"/>
        <v>Ana</v>
      </c>
      <c r="H325" s="2" t="str">
        <f t="shared" ca="1" si="152"/>
        <v>Novo</v>
      </c>
      <c r="I325" s="2" t="str">
        <f t="shared" ca="1" si="153"/>
        <v>Juliana</v>
      </c>
      <c r="J325" s="14" t="str">
        <f t="shared" ca="1" si="154"/>
        <v>VCL-1956</v>
      </c>
      <c r="K325" s="2" t="str">
        <f t="shared" ca="1" si="155"/>
        <v>Civic</v>
      </c>
      <c r="L325" s="2" t="str">
        <f t="shared" ca="1" si="156"/>
        <v>Honda</v>
      </c>
      <c r="M325" s="2" t="str">
        <f t="shared" ca="1" si="157"/>
        <v>SUV</v>
      </c>
      <c r="N325" s="2">
        <f t="shared" ca="1" si="158"/>
        <v>2017</v>
      </c>
      <c r="O325" s="2" t="str">
        <f t="shared" ca="1" si="159"/>
        <v>Loja</v>
      </c>
      <c r="P325" s="2" t="str">
        <f t="shared" ca="1" si="160"/>
        <v>Sul</v>
      </c>
      <c r="Q325" s="2" t="str">
        <f t="shared" ca="1" si="161"/>
        <v>RS</v>
      </c>
      <c r="R325" s="2" t="str">
        <f t="shared" ca="1" si="162"/>
        <v>Santa Maria</v>
      </c>
      <c r="S325" s="8">
        <f t="shared" ca="1" si="163"/>
        <v>6</v>
      </c>
      <c r="T325" s="10">
        <f t="shared" ca="1" si="164"/>
        <v>77792</v>
      </c>
      <c r="U325" s="10">
        <f t="shared" ca="1" si="165"/>
        <v>56010.239999999998</v>
      </c>
      <c r="V325" s="10">
        <f t="shared" ca="1" si="166"/>
        <v>466752</v>
      </c>
      <c r="W325" s="10">
        <f t="shared" ca="1" si="167"/>
        <v>336061.44</v>
      </c>
      <c r="X325" s="10">
        <f t="shared" ca="1" si="168"/>
        <v>130690.56</v>
      </c>
      <c r="Y325" s="12">
        <f t="shared" ca="1" si="169"/>
        <v>0.27999999999999997</v>
      </c>
      <c r="Z325" s="2" t="str">
        <f t="shared" ca="1" si="170"/>
        <v>Em negociação</v>
      </c>
      <c r="AA325" s="8">
        <f t="shared" ca="1" si="171"/>
        <v>1</v>
      </c>
      <c r="AB325" s="2">
        <f t="shared" ca="1" si="172"/>
        <v>9</v>
      </c>
      <c r="AC325" s="2">
        <f t="shared" ca="1" si="173"/>
        <v>7</v>
      </c>
    </row>
    <row r="326" spans="1:29" x14ac:dyDescent="0.25">
      <c r="A326" s="14" t="str">
        <f t="shared" si="145"/>
        <v>VND-00326</v>
      </c>
      <c r="B326" s="5">
        <f t="shared" ca="1" si="146"/>
        <v>45154</v>
      </c>
      <c r="C326" s="2">
        <f t="shared" ca="1" si="147"/>
        <v>2023</v>
      </c>
      <c r="D326" s="2" t="str">
        <f t="shared" ca="1" si="148"/>
        <v>agosto</v>
      </c>
      <c r="E326" s="2" t="str">
        <f t="shared" ca="1" si="149"/>
        <v>2023/08</v>
      </c>
      <c r="F326" s="14" t="str">
        <f t="shared" ca="1" si="150"/>
        <v>CLI-6797</v>
      </c>
      <c r="G326" s="2" t="str">
        <f t="shared" ca="1" si="151"/>
        <v>Carlos</v>
      </c>
      <c r="H326" s="2" t="str">
        <f t="shared" ca="1" si="152"/>
        <v>Novo</v>
      </c>
      <c r="I326" s="2" t="str">
        <f t="shared" ca="1" si="153"/>
        <v>Carla</v>
      </c>
      <c r="J326" s="14" t="str">
        <f t="shared" ca="1" si="154"/>
        <v>VCL-8140</v>
      </c>
      <c r="K326" s="2" t="str">
        <f t="shared" ca="1" si="155"/>
        <v>HB20</v>
      </c>
      <c r="L326" s="2" t="str">
        <f t="shared" ca="1" si="156"/>
        <v>Hyundai</v>
      </c>
      <c r="M326" s="2" t="str">
        <f t="shared" ca="1" si="157"/>
        <v>Popular</v>
      </c>
      <c r="N326" s="2">
        <f t="shared" ca="1" si="158"/>
        <v>2018</v>
      </c>
      <c r="O326" s="2" t="str">
        <f t="shared" ca="1" si="159"/>
        <v>Loja</v>
      </c>
      <c r="P326" s="2" t="str">
        <f t="shared" ca="1" si="160"/>
        <v>Sul</v>
      </c>
      <c r="Q326" s="2" t="str">
        <f t="shared" ca="1" si="161"/>
        <v>PR</v>
      </c>
      <c r="R326" s="2" t="str">
        <f t="shared" ca="1" si="162"/>
        <v>Curitiba</v>
      </c>
      <c r="S326" s="8">
        <f t="shared" ca="1" si="163"/>
        <v>10</v>
      </c>
      <c r="T326" s="10">
        <f t="shared" ca="1" si="164"/>
        <v>104670</v>
      </c>
      <c r="U326" s="10">
        <f t="shared" ca="1" si="165"/>
        <v>87922.8</v>
      </c>
      <c r="V326" s="10">
        <f t="shared" ca="1" si="166"/>
        <v>1046700</v>
      </c>
      <c r="W326" s="10">
        <f t="shared" ca="1" si="167"/>
        <v>879228</v>
      </c>
      <c r="X326" s="10">
        <f t="shared" ca="1" si="168"/>
        <v>167472</v>
      </c>
      <c r="Y326" s="12">
        <f t="shared" ca="1" si="169"/>
        <v>0.16</v>
      </c>
      <c r="Z326" s="2" t="str">
        <f t="shared" ca="1" si="170"/>
        <v>Em negociação</v>
      </c>
      <c r="AA326" s="8">
        <f t="shared" ca="1" si="171"/>
        <v>19</v>
      </c>
      <c r="AB326" s="2">
        <f t="shared" ca="1" si="172"/>
        <v>29</v>
      </c>
      <c r="AC326" s="2">
        <f t="shared" ca="1" si="173"/>
        <v>10</v>
      </c>
    </row>
    <row r="327" spans="1:29" x14ac:dyDescent="0.25">
      <c r="A327" s="14" t="str">
        <f t="shared" si="145"/>
        <v>VND-00327</v>
      </c>
      <c r="B327" s="5">
        <f t="shared" ca="1" si="146"/>
        <v>45545</v>
      </c>
      <c r="C327" s="2">
        <f t="shared" ca="1" si="147"/>
        <v>2024</v>
      </c>
      <c r="D327" s="2" t="str">
        <f t="shared" ca="1" si="148"/>
        <v>setembro</v>
      </c>
      <c r="E327" s="2" t="str">
        <f t="shared" ca="1" si="149"/>
        <v>2024/09</v>
      </c>
      <c r="F327" s="14" t="str">
        <f t="shared" ca="1" si="150"/>
        <v>CLI-3811</v>
      </c>
      <c r="G327" s="2" t="str">
        <f t="shared" ca="1" si="151"/>
        <v>Lucas</v>
      </c>
      <c r="H327" s="2" t="str">
        <f t="shared" ca="1" si="152"/>
        <v>Recorrente</v>
      </c>
      <c r="I327" s="2" t="str">
        <f t="shared" ca="1" si="153"/>
        <v>Gustavo</v>
      </c>
      <c r="J327" s="14" t="str">
        <f t="shared" ca="1" si="154"/>
        <v>VCL-5875</v>
      </c>
      <c r="K327" s="2" t="str">
        <f t="shared" ca="1" si="155"/>
        <v>BMW X1</v>
      </c>
      <c r="L327" s="2" t="str">
        <f t="shared" ca="1" si="156"/>
        <v>BMW</v>
      </c>
      <c r="M327" s="2" t="str">
        <f t="shared" ca="1" si="157"/>
        <v>Luxo</v>
      </c>
      <c r="N327" s="2">
        <f t="shared" ca="1" si="158"/>
        <v>2018</v>
      </c>
      <c r="O327" s="2" t="str">
        <f t="shared" ca="1" si="159"/>
        <v>Loja</v>
      </c>
      <c r="P327" s="2" t="str">
        <f t="shared" ca="1" si="160"/>
        <v>Centro-Oeste</v>
      </c>
      <c r="Q327" s="2" t="str">
        <f t="shared" ca="1" si="161"/>
        <v>MT</v>
      </c>
      <c r="R327" s="2" t="str">
        <f t="shared" ca="1" si="162"/>
        <v>Sinop</v>
      </c>
      <c r="S327" s="8">
        <f t="shared" ca="1" si="163"/>
        <v>4</v>
      </c>
      <c r="T327" s="10">
        <f t="shared" ca="1" si="164"/>
        <v>77931</v>
      </c>
      <c r="U327" s="10">
        <f t="shared" ca="1" si="165"/>
        <v>62344.800000000003</v>
      </c>
      <c r="V327" s="10">
        <f t="shared" ca="1" si="166"/>
        <v>311724</v>
      </c>
      <c r="W327" s="10">
        <f t="shared" ca="1" si="167"/>
        <v>249379.20000000001</v>
      </c>
      <c r="X327" s="10">
        <f t="shared" ca="1" si="168"/>
        <v>62344.799999999988</v>
      </c>
      <c r="Y327" s="12">
        <f t="shared" ca="1" si="169"/>
        <v>0.19999999999999996</v>
      </c>
      <c r="Z327" s="2" t="str">
        <f t="shared" ca="1" si="170"/>
        <v>Concluída</v>
      </c>
      <c r="AA327" s="8">
        <f t="shared" ca="1" si="171"/>
        <v>6</v>
      </c>
      <c r="AB327" s="2">
        <f t="shared" ca="1" si="172"/>
        <v>4</v>
      </c>
      <c r="AC327" s="2">
        <f t="shared" ca="1" si="173"/>
        <v>3</v>
      </c>
    </row>
    <row r="328" spans="1:29" x14ac:dyDescent="0.25">
      <c r="A328" s="14" t="str">
        <f t="shared" si="145"/>
        <v>VND-00328</v>
      </c>
      <c r="B328" s="5">
        <f t="shared" ca="1" si="146"/>
        <v>45186</v>
      </c>
      <c r="C328" s="2">
        <f t="shared" ca="1" si="147"/>
        <v>2023</v>
      </c>
      <c r="D328" s="2" t="str">
        <f t="shared" ca="1" si="148"/>
        <v>setembro</v>
      </c>
      <c r="E328" s="2" t="str">
        <f t="shared" ca="1" si="149"/>
        <v>2023/09</v>
      </c>
      <c r="F328" s="14" t="str">
        <f t="shared" ca="1" si="150"/>
        <v>CLI-5327</v>
      </c>
      <c r="G328" s="2" t="str">
        <f t="shared" ca="1" si="151"/>
        <v>Maria</v>
      </c>
      <c r="H328" s="2" t="str">
        <f t="shared" ca="1" si="152"/>
        <v>Novo</v>
      </c>
      <c r="I328" s="2" t="str">
        <f t="shared" ca="1" si="153"/>
        <v>Roberto</v>
      </c>
      <c r="J328" s="14" t="str">
        <f t="shared" ca="1" si="154"/>
        <v>VCL-7942</v>
      </c>
      <c r="K328" s="2" t="str">
        <f t="shared" ca="1" si="155"/>
        <v>Corolla</v>
      </c>
      <c r="L328" s="2" t="str">
        <f t="shared" ca="1" si="156"/>
        <v>Toyota</v>
      </c>
      <c r="M328" s="2" t="str">
        <f t="shared" ca="1" si="157"/>
        <v>SUV</v>
      </c>
      <c r="N328" s="2">
        <f t="shared" ca="1" si="158"/>
        <v>2020</v>
      </c>
      <c r="O328" s="2" t="str">
        <f t="shared" ca="1" si="159"/>
        <v>Loja</v>
      </c>
      <c r="P328" s="2" t="str">
        <f t="shared" ca="1" si="160"/>
        <v>Nordeste</v>
      </c>
      <c r="Q328" s="2" t="str">
        <f t="shared" ca="1" si="161"/>
        <v>BA</v>
      </c>
      <c r="R328" s="2" t="str">
        <f t="shared" ca="1" si="162"/>
        <v>Salvador</v>
      </c>
      <c r="S328" s="8">
        <f t="shared" ca="1" si="163"/>
        <v>9</v>
      </c>
      <c r="T328" s="10">
        <f t="shared" ca="1" si="164"/>
        <v>181134</v>
      </c>
      <c r="U328" s="10">
        <f t="shared" ca="1" si="165"/>
        <v>135850.5</v>
      </c>
      <c r="V328" s="10">
        <f t="shared" ca="1" si="166"/>
        <v>1630206</v>
      </c>
      <c r="W328" s="10">
        <f t="shared" ca="1" si="167"/>
        <v>1222654.5</v>
      </c>
      <c r="X328" s="10">
        <f t="shared" ca="1" si="168"/>
        <v>407551.5</v>
      </c>
      <c r="Y328" s="12">
        <f t="shared" ca="1" si="169"/>
        <v>0.25</v>
      </c>
      <c r="Z328" s="2" t="str">
        <f t="shared" ca="1" si="170"/>
        <v>Concluída</v>
      </c>
      <c r="AA328" s="8">
        <f t="shared" ca="1" si="171"/>
        <v>28</v>
      </c>
      <c r="AB328" s="2">
        <f t="shared" ca="1" si="172"/>
        <v>18</v>
      </c>
      <c r="AC328" s="2">
        <f t="shared" ca="1" si="173"/>
        <v>7</v>
      </c>
    </row>
    <row r="329" spans="1:29" x14ac:dyDescent="0.25">
      <c r="A329" s="14" t="str">
        <f t="shared" si="145"/>
        <v>VND-00329</v>
      </c>
      <c r="B329" s="5">
        <f t="shared" ca="1" si="146"/>
        <v>45508</v>
      </c>
      <c r="C329" s="2">
        <f t="shared" ca="1" si="147"/>
        <v>2024</v>
      </c>
      <c r="D329" s="2" t="str">
        <f t="shared" ca="1" si="148"/>
        <v>agosto</v>
      </c>
      <c r="E329" s="2" t="str">
        <f t="shared" ca="1" si="149"/>
        <v>2024/08</v>
      </c>
      <c r="F329" s="14" t="str">
        <f t="shared" ca="1" si="150"/>
        <v>CLI-9522</v>
      </c>
      <c r="G329" s="2" t="str">
        <f t="shared" ca="1" si="151"/>
        <v>Carlos</v>
      </c>
      <c r="H329" s="2" t="str">
        <f t="shared" ca="1" si="152"/>
        <v>Novo</v>
      </c>
      <c r="I329" s="2" t="str">
        <f t="shared" ca="1" si="153"/>
        <v>Marcos</v>
      </c>
      <c r="J329" s="14" t="str">
        <f t="shared" ca="1" si="154"/>
        <v>VCL-1904</v>
      </c>
      <c r="K329" s="2" t="str">
        <f t="shared" ca="1" si="155"/>
        <v>Onix</v>
      </c>
      <c r="L329" s="2" t="str">
        <f t="shared" ca="1" si="156"/>
        <v>Chevrolet</v>
      </c>
      <c r="M329" s="2" t="str">
        <f t="shared" ca="1" si="157"/>
        <v>Popular</v>
      </c>
      <c r="N329" s="2">
        <f t="shared" ca="1" si="158"/>
        <v>2016</v>
      </c>
      <c r="O329" s="2" t="str">
        <f t="shared" ca="1" si="159"/>
        <v>Loja</v>
      </c>
      <c r="P329" s="2" t="str">
        <f t="shared" ca="1" si="160"/>
        <v>Sul</v>
      </c>
      <c r="Q329" s="2" t="str">
        <f t="shared" ca="1" si="161"/>
        <v>SC</v>
      </c>
      <c r="R329" s="2" t="str">
        <f t="shared" ca="1" si="162"/>
        <v>Florianópolis</v>
      </c>
      <c r="S329" s="8">
        <f t="shared" ca="1" si="163"/>
        <v>9</v>
      </c>
      <c r="T329" s="10">
        <f t="shared" ca="1" si="164"/>
        <v>61212</v>
      </c>
      <c r="U329" s="10">
        <f t="shared" ca="1" si="165"/>
        <v>45296.88</v>
      </c>
      <c r="V329" s="10">
        <f t="shared" ca="1" si="166"/>
        <v>550908</v>
      </c>
      <c r="W329" s="10">
        <f t="shared" ca="1" si="167"/>
        <v>407671.92</v>
      </c>
      <c r="X329" s="10">
        <f t="shared" ca="1" si="168"/>
        <v>143236.08000000002</v>
      </c>
      <c r="Y329" s="12">
        <f t="shared" ca="1" si="169"/>
        <v>0.26</v>
      </c>
      <c r="Z329" s="2" t="str">
        <f t="shared" ca="1" si="170"/>
        <v>Cancelada</v>
      </c>
      <c r="AA329" s="8">
        <f t="shared" ca="1" si="171"/>
        <v>23</v>
      </c>
      <c r="AB329" s="2">
        <f t="shared" ca="1" si="172"/>
        <v>13</v>
      </c>
      <c r="AC329" s="2">
        <f t="shared" ca="1" si="173"/>
        <v>10</v>
      </c>
    </row>
    <row r="330" spans="1:29" x14ac:dyDescent="0.25">
      <c r="A330" s="14" t="str">
        <f t="shared" si="145"/>
        <v>VND-00330</v>
      </c>
      <c r="B330" s="5">
        <f t="shared" ca="1" si="146"/>
        <v>45114</v>
      </c>
      <c r="C330" s="2">
        <f t="shared" ca="1" si="147"/>
        <v>2023</v>
      </c>
      <c r="D330" s="2" t="str">
        <f t="shared" ca="1" si="148"/>
        <v>julho</v>
      </c>
      <c r="E330" s="2" t="str">
        <f t="shared" ca="1" si="149"/>
        <v>2023/07</v>
      </c>
      <c r="F330" s="14" t="str">
        <f t="shared" ca="1" si="150"/>
        <v>CLI-2116</v>
      </c>
      <c r="G330" s="2" t="str">
        <f t="shared" ca="1" si="151"/>
        <v>Lucas</v>
      </c>
      <c r="H330" s="2" t="str">
        <f t="shared" ca="1" si="152"/>
        <v>Recorrente</v>
      </c>
      <c r="I330" s="2" t="str">
        <f t="shared" ca="1" si="153"/>
        <v>Juliana</v>
      </c>
      <c r="J330" s="14" t="str">
        <f t="shared" ca="1" si="154"/>
        <v>VCL-3595</v>
      </c>
      <c r="K330" s="2" t="str">
        <f t="shared" ca="1" si="155"/>
        <v>Civic</v>
      </c>
      <c r="L330" s="2" t="str">
        <f t="shared" ca="1" si="156"/>
        <v>Honda</v>
      </c>
      <c r="M330" s="2" t="str">
        <f t="shared" ca="1" si="157"/>
        <v>SUV</v>
      </c>
      <c r="N330" s="2">
        <f t="shared" ca="1" si="158"/>
        <v>2022</v>
      </c>
      <c r="O330" s="2" t="str">
        <f t="shared" ca="1" si="159"/>
        <v>Loja</v>
      </c>
      <c r="P330" s="2" t="str">
        <f t="shared" ca="1" si="160"/>
        <v>Sul</v>
      </c>
      <c r="Q330" s="2" t="str">
        <f t="shared" ca="1" si="161"/>
        <v>RS</v>
      </c>
      <c r="R330" s="2" t="str">
        <f t="shared" ca="1" si="162"/>
        <v>Caxias do Sul</v>
      </c>
      <c r="S330" s="8">
        <f t="shared" ca="1" si="163"/>
        <v>4</v>
      </c>
      <c r="T330" s="10">
        <f t="shared" ca="1" si="164"/>
        <v>106859</v>
      </c>
      <c r="U330" s="10">
        <f t="shared" ca="1" si="165"/>
        <v>76938.48</v>
      </c>
      <c r="V330" s="10">
        <f t="shared" ca="1" si="166"/>
        <v>427436</v>
      </c>
      <c r="W330" s="10">
        <f t="shared" ca="1" si="167"/>
        <v>307753.92</v>
      </c>
      <c r="X330" s="10">
        <f t="shared" ca="1" si="168"/>
        <v>119682.08000000002</v>
      </c>
      <c r="Y330" s="12">
        <f t="shared" ca="1" si="169"/>
        <v>0.28000000000000003</v>
      </c>
      <c r="Z330" s="2" t="str">
        <f t="shared" ca="1" si="170"/>
        <v>Em negociação</v>
      </c>
      <c r="AA330" s="8">
        <f t="shared" ca="1" si="171"/>
        <v>13</v>
      </c>
      <c r="AB330" s="2">
        <f t="shared" ca="1" si="172"/>
        <v>5</v>
      </c>
      <c r="AC330" s="2">
        <f t="shared" ca="1" si="173"/>
        <v>7</v>
      </c>
    </row>
    <row r="331" spans="1:29" x14ac:dyDescent="0.25">
      <c r="A331" s="14" t="str">
        <f t="shared" si="145"/>
        <v>VND-00331</v>
      </c>
      <c r="B331" s="5">
        <f t="shared" ca="1" si="146"/>
        <v>45605</v>
      </c>
      <c r="C331" s="2">
        <f t="shared" ca="1" si="147"/>
        <v>2024</v>
      </c>
      <c r="D331" s="2" t="str">
        <f t="shared" ca="1" si="148"/>
        <v>novembro</v>
      </c>
      <c r="E331" s="2" t="str">
        <f t="shared" ca="1" si="149"/>
        <v>2024/11</v>
      </c>
      <c r="F331" s="14" t="str">
        <f t="shared" ca="1" si="150"/>
        <v>CLI-3592</v>
      </c>
      <c r="G331" s="2" t="str">
        <f t="shared" ca="1" si="151"/>
        <v>Maria</v>
      </c>
      <c r="H331" s="2" t="str">
        <f t="shared" ca="1" si="152"/>
        <v>Novo</v>
      </c>
      <c r="I331" s="2" t="str">
        <f t="shared" ca="1" si="153"/>
        <v>Ana</v>
      </c>
      <c r="J331" s="14" t="str">
        <f t="shared" ca="1" si="154"/>
        <v>VCL-7575</v>
      </c>
      <c r="K331" s="2" t="str">
        <f t="shared" ca="1" si="155"/>
        <v>Compass</v>
      </c>
      <c r="L331" s="2" t="str">
        <f t="shared" ca="1" si="156"/>
        <v>Jeep</v>
      </c>
      <c r="M331" s="2" t="str">
        <f t="shared" ca="1" si="157"/>
        <v>SUV</v>
      </c>
      <c r="N331" s="2">
        <f t="shared" ca="1" si="158"/>
        <v>2022</v>
      </c>
      <c r="O331" s="2" t="str">
        <f t="shared" ca="1" si="159"/>
        <v>Loja</v>
      </c>
      <c r="P331" s="2" t="str">
        <f t="shared" ca="1" si="160"/>
        <v>Sudeste</v>
      </c>
      <c r="Q331" s="2" t="str">
        <f t="shared" ca="1" si="161"/>
        <v>ES</v>
      </c>
      <c r="R331" s="2" t="str">
        <f t="shared" ca="1" si="162"/>
        <v>Cariacica</v>
      </c>
      <c r="S331" s="8">
        <f t="shared" ca="1" si="163"/>
        <v>2</v>
      </c>
      <c r="T331" s="10">
        <f t="shared" ca="1" si="164"/>
        <v>74434</v>
      </c>
      <c r="U331" s="10">
        <f t="shared" ca="1" si="165"/>
        <v>62524.56</v>
      </c>
      <c r="V331" s="10">
        <f t="shared" ca="1" si="166"/>
        <v>148868</v>
      </c>
      <c r="W331" s="10">
        <f t="shared" ca="1" si="167"/>
        <v>125049.12</v>
      </c>
      <c r="X331" s="10">
        <f t="shared" ca="1" si="168"/>
        <v>23818.880000000005</v>
      </c>
      <c r="Y331" s="12">
        <f t="shared" ca="1" si="169"/>
        <v>0.16000000000000003</v>
      </c>
      <c r="Z331" s="2" t="str">
        <f t="shared" ca="1" si="170"/>
        <v>Concluída</v>
      </c>
      <c r="AA331" s="8">
        <f t="shared" ca="1" si="171"/>
        <v>8</v>
      </c>
      <c r="AB331" s="2">
        <f t="shared" ca="1" si="172"/>
        <v>20</v>
      </c>
      <c r="AC331" s="2">
        <f t="shared" ca="1" si="173"/>
        <v>7</v>
      </c>
    </row>
    <row r="332" spans="1:29" x14ac:dyDescent="0.25">
      <c r="A332" s="14" t="str">
        <f t="shared" si="145"/>
        <v>VND-00332</v>
      </c>
      <c r="B332" s="5">
        <f t="shared" ca="1" si="146"/>
        <v>44963</v>
      </c>
      <c r="C332" s="2">
        <f t="shared" ca="1" si="147"/>
        <v>2023</v>
      </c>
      <c r="D332" s="2" t="str">
        <f t="shared" ca="1" si="148"/>
        <v>fevereiro</v>
      </c>
      <c r="E332" s="2" t="str">
        <f t="shared" ca="1" si="149"/>
        <v>2023/02</v>
      </c>
      <c r="F332" s="14" t="str">
        <f t="shared" ca="1" si="150"/>
        <v>CLI-4382</v>
      </c>
      <c r="G332" s="2" t="str">
        <f t="shared" ca="1" si="151"/>
        <v>Ana</v>
      </c>
      <c r="H332" s="2" t="str">
        <f t="shared" ca="1" si="152"/>
        <v>Novo</v>
      </c>
      <c r="I332" s="2" t="str">
        <f t="shared" ca="1" si="153"/>
        <v>Carlos</v>
      </c>
      <c r="J332" s="14" t="str">
        <f t="shared" ca="1" si="154"/>
        <v>VCL-9193</v>
      </c>
      <c r="K332" s="2" t="str">
        <f t="shared" ca="1" si="155"/>
        <v>HB20</v>
      </c>
      <c r="L332" s="2" t="str">
        <f t="shared" ca="1" si="156"/>
        <v>Hyundai</v>
      </c>
      <c r="M332" s="2" t="str">
        <f t="shared" ca="1" si="157"/>
        <v>Popular</v>
      </c>
      <c r="N332" s="2">
        <f t="shared" ca="1" si="158"/>
        <v>2020</v>
      </c>
      <c r="O332" s="2" t="str">
        <f t="shared" ca="1" si="159"/>
        <v>Loja</v>
      </c>
      <c r="P332" s="2" t="str">
        <f t="shared" ca="1" si="160"/>
        <v>Norte</v>
      </c>
      <c r="Q332" s="2" t="str">
        <f t="shared" ca="1" si="161"/>
        <v>PA</v>
      </c>
      <c r="R332" s="2" t="str">
        <f t="shared" ca="1" si="162"/>
        <v>Belém</v>
      </c>
      <c r="S332" s="8">
        <f t="shared" ca="1" si="163"/>
        <v>6</v>
      </c>
      <c r="T332" s="10">
        <f t="shared" ca="1" si="164"/>
        <v>232953</v>
      </c>
      <c r="U332" s="10">
        <f t="shared" ca="1" si="165"/>
        <v>167726.16</v>
      </c>
      <c r="V332" s="10">
        <f t="shared" ca="1" si="166"/>
        <v>1397718</v>
      </c>
      <c r="W332" s="10">
        <f t="shared" ca="1" si="167"/>
        <v>1006356.96</v>
      </c>
      <c r="X332" s="10">
        <f t="shared" ca="1" si="168"/>
        <v>391361.04000000004</v>
      </c>
      <c r="Y332" s="12">
        <f t="shared" ca="1" si="169"/>
        <v>0.28000000000000003</v>
      </c>
      <c r="Z332" s="2" t="str">
        <f t="shared" ca="1" si="170"/>
        <v>Concluída</v>
      </c>
      <c r="AA332" s="8">
        <f t="shared" ca="1" si="171"/>
        <v>22</v>
      </c>
      <c r="AB332" s="2">
        <f t="shared" ca="1" si="172"/>
        <v>30</v>
      </c>
      <c r="AC332" s="2">
        <f t="shared" ca="1" si="173"/>
        <v>10</v>
      </c>
    </row>
    <row r="333" spans="1:29" x14ac:dyDescent="0.25">
      <c r="A333" s="14" t="str">
        <f t="shared" si="145"/>
        <v>VND-00333</v>
      </c>
      <c r="B333" s="5">
        <f t="shared" ca="1" si="146"/>
        <v>45486</v>
      </c>
      <c r="C333" s="2">
        <f t="shared" ca="1" si="147"/>
        <v>2024</v>
      </c>
      <c r="D333" s="2" t="str">
        <f t="shared" ca="1" si="148"/>
        <v>julho</v>
      </c>
      <c r="E333" s="2" t="str">
        <f t="shared" ca="1" si="149"/>
        <v>2024/07</v>
      </c>
      <c r="F333" s="14" t="str">
        <f t="shared" ca="1" si="150"/>
        <v>CLI-2392</v>
      </c>
      <c r="G333" s="2" t="str">
        <f t="shared" ca="1" si="151"/>
        <v>Lucas</v>
      </c>
      <c r="H333" s="2" t="str">
        <f t="shared" ca="1" si="152"/>
        <v>Novo</v>
      </c>
      <c r="I333" s="2" t="str">
        <f t="shared" ca="1" si="153"/>
        <v>João</v>
      </c>
      <c r="J333" s="14" t="str">
        <f t="shared" ca="1" si="154"/>
        <v>VCL-3811</v>
      </c>
      <c r="K333" s="2" t="str">
        <f t="shared" ca="1" si="155"/>
        <v>Onix</v>
      </c>
      <c r="L333" s="2" t="str">
        <f t="shared" ca="1" si="156"/>
        <v>Chevrolet</v>
      </c>
      <c r="M333" s="2" t="str">
        <f t="shared" ca="1" si="157"/>
        <v>Popular</v>
      </c>
      <c r="N333" s="2">
        <f t="shared" ca="1" si="158"/>
        <v>2020</v>
      </c>
      <c r="O333" s="2" t="str">
        <f t="shared" ca="1" si="159"/>
        <v>Loja</v>
      </c>
      <c r="P333" s="2" t="str">
        <f t="shared" ca="1" si="160"/>
        <v>Sudeste</v>
      </c>
      <c r="Q333" s="2" t="str">
        <f t="shared" ca="1" si="161"/>
        <v>RJ</v>
      </c>
      <c r="R333" s="2" t="str">
        <f t="shared" ca="1" si="162"/>
        <v>Duque de Caxias</v>
      </c>
      <c r="S333" s="8">
        <f t="shared" ca="1" si="163"/>
        <v>8</v>
      </c>
      <c r="T333" s="10">
        <f t="shared" ca="1" si="164"/>
        <v>88055</v>
      </c>
      <c r="U333" s="10">
        <f t="shared" ca="1" si="165"/>
        <v>70444</v>
      </c>
      <c r="V333" s="10">
        <f t="shared" ca="1" si="166"/>
        <v>704440</v>
      </c>
      <c r="W333" s="10">
        <f t="shared" ca="1" si="167"/>
        <v>563552</v>
      </c>
      <c r="X333" s="10">
        <f t="shared" ca="1" si="168"/>
        <v>140888</v>
      </c>
      <c r="Y333" s="12">
        <f t="shared" ca="1" si="169"/>
        <v>0.2</v>
      </c>
      <c r="Z333" s="2" t="str">
        <f t="shared" ca="1" si="170"/>
        <v>Cancelada</v>
      </c>
      <c r="AA333" s="8">
        <f t="shared" ca="1" si="171"/>
        <v>6</v>
      </c>
      <c r="AB333" s="2">
        <f t="shared" ca="1" si="172"/>
        <v>18</v>
      </c>
      <c r="AC333" s="2">
        <f t="shared" ca="1" si="173"/>
        <v>10</v>
      </c>
    </row>
    <row r="334" spans="1:29" x14ac:dyDescent="0.25">
      <c r="A334" s="14" t="str">
        <f t="shared" si="145"/>
        <v>VND-00334</v>
      </c>
      <c r="B334" s="5">
        <f t="shared" ca="1" si="146"/>
        <v>45480</v>
      </c>
      <c r="C334" s="2">
        <f t="shared" ca="1" si="147"/>
        <v>2024</v>
      </c>
      <c r="D334" s="2" t="str">
        <f t="shared" ca="1" si="148"/>
        <v>julho</v>
      </c>
      <c r="E334" s="2" t="str">
        <f t="shared" ca="1" si="149"/>
        <v>2024/07</v>
      </c>
      <c r="F334" s="14" t="str">
        <f t="shared" ca="1" si="150"/>
        <v>CLI-1273</v>
      </c>
      <c r="G334" s="2" t="str">
        <f t="shared" ca="1" si="151"/>
        <v>Carlos</v>
      </c>
      <c r="H334" s="2" t="str">
        <f t="shared" ca="1" si="152"/>
        <v>Novo</v>
      </c>
      <c r="I334" s="2" t="str">
        <f t="shared" ca="1" si="153"/>
        <v>Camila</v>
      </c>
      <c r="J334" s="14" t="str">
        <f t="shared" ca="1" si="154"/>
        <v>VCL-2934</v>
      </c>
      <c r="K334" s="2" t="str">
        <f t="shared" ca="1" si="155"/>
        <v>Onix</v>
      </c>
      <c r="L334" s="2" t="str">
        <f t="shared" ca="1" si="156"/>
        <v>Chevrolet</v>
      </c>
      <c r="M334" s="2" t="str">
        <f t="shared" ca="1" si="157"/>
        <v>Popular</v>
      </c>
      <c r="N334" s="2">
        <f t="shared" ca="1" si="158"/>
        <v>2019</v>
      </c>
      <c r="O334" s="2" t="str">
        <f t="shared" ca="1" si="159"/>
        <v>Loja</v>
      </c>
      <c r="P334" s="2" t="str">
        <f t="shared" ca="1" si="160"/>
        <v>Centro-Oeste</v>
      </c>
      <c r="Q334" s="2" t="str">
        <f t="shared" ca="1" si="161"/>
        <v>MT</v>
      </c>
      <c r="R334" s="2" t="str">
        <f t="shared" ca="1" si="162"/>
        <v>Cuiabá</v>
      </c>
      <c r="S334" s="8">
        <f t="shared" ca="1" si="163"/>
        <v>9</v>
      </c>
      <c r="T334" s="10">
        <f t="shared" ca="1" si="164"/>
        <v>178725</v>
      </c>
      <c r="U334" s="10">
        <f t="shared" ca="1" si="165"/>
        <v>126894.75</v>
      </c>
      <c r="V334" s="10">
        <f t="shared" ca="1" si="166"/>
        <v>1608525</v>
      </c>
      <c r="W334" s="10">
        <f t="shared" ca="1" si="167"/>
        <v>1142052.75</v>
      </c>
      <c r="X334" s="10">
        <f t="shared" ca="1" si="168"/>
        <v>466472.25</v>
      </c>
      <c r="Y334" s="12">
        <f t="shared" ca="1" si="169"/>
        <v>0.28999999999999998</v>
      </c>
      <c r="Z334" s="2" t="str">
        <f t="shared" ca="1" si="170"/>
        <v>Concluída</v>
      </c>
      <c r="AA334" s="8">
        <f t="shared" ca="1" si="171"/>
        <v>22</v>
      </c>
      <c r="AB334" s="2">
        <f t="shared" ca="1" si="172"/>
        <v>18</v>
      </c>
      <c r="AC334" s="2">
        <f t="shared" ca="1" si="173"/>
        <v>10</v>
      </c>
    </row>
    <row r="335" spans="1:29" x14ac:dyDescent="0.25">
      <c r="A335" s="14" t="str">
        <f t="shared" si="145"/>
        <v>VND-00335</v>
      </c>
      <c r="B335" s="5">
        <f t="shared" ca="1" si="146"/>
        <v>45327</v>
      </c>
      <c r="C335" s="2">
        <f t="shared" ca="1" si="147"/>
        <v>2024</v>
      </c>
      <c r="D335" s="2" t="str">
        <f t="shared" ca="1" si="148"/>
        <v>fevereiro</v>
      </c>
      <c r="E335" s="2" t="str">
        <f t="shared" ca="1" si="149"/>
        <v>2024/02</v>
      </c>
      <c r="F335" s="14" t="str">
        <f t="shared" ca="1" si="150"/>
        <v>CLI-5303</v>
      </c>
      <c r="G335" s="2" t="str">
        <f t="shared" ca="1" si="151"/>
        <v>João</v>
      </c>
      <c r="H335" s="2" t="str">
        <f t="shared" ca="1" si="152"/>
        <v>Recorrente</v>
      </c>
      <c r="I335" s="2" t="str">
        <f t="shared" ca="1" si="153"/>
        <v>Fernanda</v>
      </c>
      <c r="J335" s="14" t="str">
        <f t="shared" ca="1" si="154"/>
        <v>VCL-7101</v>
      </c>
      <c r="K335" s="2" t="str">
        <f t="shared" ca="1" si="155"/>
        <v>Onix</v>
      </c>
      <c r="L335" s="2" t="str">
        <f t="shared" ca="1" si="156"/>
        <v>Chevrolet</v>
      </c>
      <c r="M335" s="2" t="str">
        <f t="shared" ca="1" si="157"/>
        <v>Popular</v>
      </c>
      <c r="N335" s="2">
        <f t="shared" ca="1" si="158"/>
        <v>2017</v>
      </c>
      <c r="O335" s="2" t="str">
        <f t="shared" ca="1" si="159"/>
        <v>Loja</v>
      </c>
      <c r="P335" s="2" t="str">
        <f t="shared" ca="1" si="160"/>
        <v>Nordeste</v>
      </c>
      <c r="Q335" s="2" t="str">
        <f t="shared" ca="1" si="161"/>
        <v>BA</v>
      </c>
      <c r="R335" s="2" t="str">
        <f t="shared" ca="1" si="162"/>
        <v>Feira de Santana</v>
      </c>
      <c r="S335" s="8">
        <f t="shared" ca="1" si="163"/>
        <v>6</v>
      </c>
      <c r="T335" s="10">
        <f t="shared" ca="1" si="164"/>
        <v>241771</v>
      </c>
      <c r="U335" s="10">
        <f t="shared" ca="1" si="165"/>
        <v>186163.67</v>
      </c>
      <c r="V335" s="10">
        <f t="shared" ca="1" si="166"/>
        <v>1450626</v>
      </c>
      <c r="W335" s="10">
        <f t="shared" ca="1" si="167"/>
        <v>1116982.02</v>
      </c>
      <c r="X335" s="10">
        <f t="shared" ca="1" si="168"/>
        <v>333643.98</v>
      </c>
      <c r="Y335" s="12">
        <f t="shared" ca="1" si="169"/>
        <v>0.22999999999999998</v>
      </c>
      <c r="Z335" s="2" t="str">
        <f t="shared" ca="1" si="170"/>
        <v>Concluída</v>
      </c>
      <c r="AA335" s="8">
        <f t="shared" ca="1" si="171"/>
        <v>25</v>
      </c>
      <c r="AB335" s="2">
        <f t="shared" ca="1" si="172"/>
        <v>25</v>
      </c>
      <c r="AC335" s="2">
        <f t="shared" ca="1" si="173"/>
        <v>10</v>
      </c>
    </row>
    <row r="336" spans="1:29" x14ac:dyDescent="0.25">
      <c r="A336" s="14" t="str">
        <f t="shared" si="145"/>
        <v>VND-00336</v>
      </c>
      <c r="B336" s="5">
        <f t="shared" ca="1" si="146"/>
        <v>45996</v>
      </c>
      <c r="C336" s="2">
        <f t="shared" ca="1" si="147"/>
        <v>2025</v>
      </c>
      <c r="D336" s="2" t="str">
        <f t="shared" ca="1" si="148"/>
        <v>dezembro</v>
      </c>
      <c r="E336" s="2" t="str">
        <f t="shared" ca="1" si="149"/>
        <v>2025/12</v>
      </c>
      <c r="F336" s="14" t="str">
        <f t="shared" ca="1" si="150"/>
        <v>CLI-5240</v>
      </c>
      <c r="G336" s="2" t="str">
        <f t="shared" ca="1" si="151"/>
        <v>Fernanda</v>
      </c>
      <c r="H336" s="2" t="str">
        <f t="shared" ca="1" si="152"/>
        <v>Novo</v>
      </c>
      <c r="I336" s="2" t="str">
        <f t="shared" ca="1" si="153"/>
        <v>Eduardo</v>
      </c>
      <c r="J336" s="14" t="str">
        <f t="shared" ca="1" si="154"/>
        <v>VCL-4846</v>
      </c>
      <c r="K336" s="2" t="str">
        <f t="shared" ca="1" si="155"/>
        <v>Onix</v>
      </c>
      <c r="L336" s="2" t="str">
        <f t="shared" ca="1" si="156"/>
        <v>Chevrolet</v>
      </c>
      <c r="M336" s="2" t="str">
        <f t="shared" ca="1" si="157"/>
        <v>Popular</v>
      </c>
      <c r="N336" s="2">
        <f t="shared" ca="1" si="158"/>
        <v>2020</v>
      </c>
      <c r="O336" s="2" t="str">
        <f t="shared" ca="1" si="159"/>
        <v>Loja</v>
      </c>
      <c r="P336" s="2" t="str">
        <f t="shared" ca="1" si="160"/>
        <v>Centro-Oeste</v>
      </c>
      <c r="Q336" s="2" t="str">
        <f t="shared" ca="1" si="161"/>
        <v>GO</v>
      </c>
      <c r="R336" s="2" t="str">
        <f t="shared" ca="1" si="162"/>
        <v>Goiânia</v>
      </c>
      <c r="S336" s="8">
        <f t="shared" ca="1" si="163"/>
        <v>5</v>
      </c>
      <c r="T336" s="10">
        <f t="shared" ca="1" si="164"/>
        <v>126260</v>
      </c>
      <c r="U336" s="10">
        <f t="shared" ca="1" si="165"/>
        <v>102270.6</v>
      </c>
      <c r="V336" s="10">
        <f t="shared" ca="1" si="166"/>
        <v>631300</v>
      </c>
      <c r="W336" s="10">
        <f t="shared" ca="1" si="167"/>
        <v>511353</v>
      </c>
      <c r="X336" s="10">
        <f t="shared" ca="1" si="168"/>
        <v>119947</v>
      </c>
      <c r="Y336" s="12">
        <f t="shared" ca="1" si="169"/>
        <v>0.19</v>
      </c>
      <c r="Z336" s="2" t="str">
        <f t="shared" ca="1" si="170"/>
        <v>Concluída</v>
      </c>
      <c r="AA336" s="8">
        <f t="shared" ca="1" si="171"/>
        <v>27</v>
      </c>
      <c r="AB336" s="2">
        <f t="shared" ca="1" si="172"/>
        <v>29</v>
      </c>
      <c r="AC336" s="2">
        <f t="shared" ca="1" si="173"/>
        <v>10</v>
      </c>
    </row>
    <row r="337" spans="1:29" x14ac:dyDescent="0.25">
      <c r="A337" s="14" t="str">
        <f t="shared" si="145"/>
        <v>VND-00337</v>
      </c>
      <c r="B337" s="5">
        <f t="shared" ca="1" si="146"/>
        <v>44964</v>
      </c>
      <c r="C337" s="2">
        <f t="shared" ca="1" si="147"/>
        <v>2023</v>
      </c>
      <c r="D337" s="2" t="str">
        <f t="shared" ca="1" si="148"/>
        <v>fevereiro</v>
      </c>
      <c r="E337" s="2" t="str">
        <f t="shared" ca="1" si="149"/>
        <v>2023/02</v>
      </c>
      <c r="F337" s="14" t="str">
        <f t="shared" ca="1" si="150"/>
        <v>CLI-6580</v>
      </c>
      <c r="G337" s="2" t="str">
        <f t="shared" ca="1" si="151"/>
        <v>Rafael</v>
      </c>
      <c r="H337" s="2" t="str">
        <f t="shared" ca="1" si="152"/>
        <v>Novo</v>
      </c>
      <c r="I337" s="2" t="str">
        <f t="shared" ca="1" si="153"/>
        <v>Carlos</v>
      </c>
      <c r="J337" s="14" t="str">
        <f t="shared" ca="1" si="154"/>
        <v>VCL-2980</v>
      </c>
      <c r="K337" s="2" t="str">
        <f t="shared" ca="1" si="155"/>
        <v>BMW X1</v>
      </c>
      <c r="L337" s="2" t="str">
        <f t="shared" ca="1" si="156"/>
        <v>BMW</v>
      </c>
      <c r="M337" s="2" t="str">
        <f t="shared" ca="1" si="157"/>
        <v>Luxo</v>
      </c>
      <c r="N337" s="2">
        <f t="shared" ca="1" si="158"/>
        <v>2018</v>
      </c>
      <c r="O337" s="2" t="str">
        <f t="shared" ca="1" si="159"/>
        <v>Loja</v>
      </c>
      <c r="P337" s="2" t="str">
        <f t="shared" ca="1" si="160"/>
        <v>Norte</v>
      </c>
      <c r="Q337" s="2" t="str">
        <f t="shared" ca="1" si="161"/>
        <v>AM</v>
      </c>
      <c r="R337" s="2" t="str">
        <f t="shared" ca="1" si="162"/>
        <v>Parintins</v>
      </c>
      <c r="S337" s="8">
        <f t="shared" ca="1" si="163"/>
        <v>4</v>
      </c>
      <c r="T337" s="10">
        <f t="shared" ca="1" si="164"/>
        <v>111216</v>
      </c>
      <c r="U337" s="10">
        <f t="shared" ca="1" si="165"/>
        <v>93421.440000000002</v>
      </c>
      <c r="V337" s="10">
        <f t="shared" ca="1" si="166"/>
        <v>444864</v>
      </c>
      <c r="W337" s="10">
        <f t="shared" ca="1" si="167"/>
        <v>373685.76000000001</v>
      </c>
      <c r="X337" s="10">
        <f t="shared" ca="1" si="168"/>
        <v>71178.239999999991</v>
      </c>
      <c r="Y337" s="12">
        <f t="shared" ca="1" si="169"/>
        <v>0.15999999999999998</v>
      </c>
      <c r="Z337" s="2" t="str">
        <f t="shared" ca="1" si="170"/>
        <v>Cancelada</v>
      </c>
      <c r="AA337" s="8">
        <f t="shared" ca="1" si="171"/>
        <v>24</v>
      </c>
      <c r="AB337" s="2">
        <f t="shared" ca="1" si="172"/>
        <v>1</v>
      </c>
      <c r="AC337" s="2">
        <f t="shared" ca="1" si="173"/>
        <v>3</v>
      </c>
    </row>
    <row r="338" spans="1:29" x14ac:dyDescent="0.25">
      <c r="A338" s="14" t="str">
        <f t="shared" si="145"/>
        <v>VND-00338</v>
      </c>
      <c r="B338" s="5">
        <f t="shared" ca="1" si="146"/>
        <v>44987</v>
      </c>
      <c r="C338" s="2">
        <f t="shared" ca="1" si="147"/>
        <v>2023</v>
      </c>
      <c r="D338" s="2" t="str">
        <f t="shared" ca="1" si="148"/>
        <v>março</v>
      </c>
      <c r="E338" s="2" t="str">
        <f t="shared" ca="1" si="149"/>
        <v>2023/03</v>
      </c>
      <c r="F338" s="14" t="str">
        <f t="shared" ca="1" si="150"/>
        <v>CLI-2189</v>
      </c>
      <c r="G338" s="2" t="str">
        <f t="shared" ca="1" si="151"/>
        <v>Juliana</v>
      </c>
      <c r="H338" s="2" t="str">
        <f t="shared" ca="1" si="152"/>
        <v>Novo</v>
      </c>
      <c r="I338" s="2" t="str">
        <f t="shared" ca="1" si="153"/>
        <v>Larissa</v>
      </c>
      <c r="J338" s="14" t="str">
        <f t="shared" ca="1" si="154"/>
        <v>VCL-6079</v>
      </c>
      <c r="K338" s="2" t="str">
        <f t="shared" ca="1" si="155"/>
        <v>BMW X1</v>
      </c>
      <c r="L338" s="2" t="str">
        <f t="shared" ca="1" si="156"/>
        <v>BMW</v>
      </c>
      <c r="M338" s="2" t="str">
        <f t="shared" ca="1" si="157"/>
        <v>Luxo</v>
      </c>
      <c r="N338" s="2">
        <f t="shared" ca="1" si="158"/>
        <v>2017</v>
      </c>
      <c r="O338" s="2" t="str">
        <f t="shared" ca="1" si="159"/>
        <v>Loja</v>
      </c>
      <c r="P338" s="2" t="str">
        <f t="shared" ca="1" si="160"/>
        <v>Centro-Oeste</v>
      </c>
      <c r="Q338" s="2" t="str">
        <f t="shared" ca="1" si="161"/>
        <v>DF</v>
      </c>
      <c r="R338" s="2" t="str">
        <f t="shared" ca="1" si="162"/>
        <v>Planaltina</v>
      </c>
      <c r="S338" s="8">
        <f t="shared" ca="1" si="163"/>
        <v>6</v>
      </c>
      <c r="T338" s="10">
        <f t="shared" ca="1" si="164"/>
        <v>156437</v>
      </c>
      <c r="U338" s="10">
        <f t="shared" ca="1" si="165"/>
        <v>111070.26999999999</v>
      </c>
      <c r="V338" s="10">
        <f t="shared" ca="1" si="166"/>
        <v>938622</v>
      </c>
      <c r="W338" s="10">
        <f t="shared" ca="1" si="167"/>
        <v>666421.61999999988</v>
      </c>
      <c r="X338" s="10">
        <f t="shared" ca="1" si="168"/>
        <v>272200.38000000012</v>
      </c>
      <c r="Y338" s="12">
        <f t="shared" ca="1" si="169"/>
        <v>0.29000000000000015</v>
      </c>
      <c r="Z338" s="2" t="str">
        <f t="shared" ca="1" si="170"/>
        <v>Em negociação</v>
      </c>
      <c r="AA338" s="8">
        <f t="shared" ca="1" si="171"/>
        <v>3</v>
      </c>
      <c r="AB338" s="2">
        <f t="shared" ca="1" si="172"/>
        <v>5</v>
      </c>
      <c r="AC338" s="2">
        <f t="shared" ca="1" si="173"/>
        <v>3</v>
      </c>
    </row>
    <row r="339" spans="1:29" x14ac:dyDescent="0.25">
      <c r="A339" s="14" t="str">
        <f t="shared" si="145"/>
        <v>VND-00339</v>
      </c>
      <c r="B339" s="5">
        <f t="shared" ca="1" si="146"/>
        <v>44984</v>
      </c>
      <c r="C339" s="2">
        <f t="shared" ca="1" si="147"/>
        <v>2023</v>
      </c>
      <c r="D339" s="2" t="str">
        <f t="shared" ca="1" si="148"/>
        <v>fevereiro</v>
      </c>
      <c r="E339" s="2" t="str">
        <f t="shared" ca="1" si="149"/>
        <v>2023/02</v>
      </c>
      <c r="F339" s="14" t="str">
        <f t="shared" ca="1" si="150"/>
        <v>CLI-2382</v>
      </c>
      <c r="G339" s="2" t="str">
        <f t="shared" ca="1" si="151"/>
        <v>Maria</v>
      </c>
      <c r="H339" s="2" t="str">
        <f t="shared" ca="1" si="152"/>
        <v>Novo</v>
      </c>
      <c r="I339" s="2" t="str">
        <f t="shared" ca="1" si="153"/>
        <v>Patricia</v>
      </c>
      <c r="J339" s="14" t="str">
        <f t="shared" ca="1" si="154"/>
        <v>VCL-1084</v>
      </c>
      <c r="K339" s="2" t="str">
        <f t="shared" ca="1" si="155"/>
        <v>BMW X1</v>
      </c>
      <c r="L339" s="2" t="str">
        <f t="shared" ca="1" si="156"/>
        <v>BMW</v>
      </c>
      <c r="M339" s="2" t="str">
        <f t="shared" ca="1" si="157"/>
        <v>Luxo</v>
      </c>
      <c r="N339" s="2">
        <f t="shared" ca="1" si="158"/>
        <v>2023</v>
      </c>
      <c r="O339" s="2" t="str">
        <f t="shared" ca="1" si="159"/>
        <v>Loja</v>
      </c>
      <c r="P339" s="2" t="str">
        <f t="shared" ca="1" si="160"/>
        <v>Nordeste</v>
      </c>
      <c r="Q339" s="2" t="str">
        <f t="shared" ca="1" si="161"/>
        <v>PE</v>
      </c>
      <c r="R339" s="2" t="str">
        <f t="shared" ca="1" si="162"/>
        <v>Jaboatão</v>
      </c>
      <c r="S339" s="8">
        <f t="shared" ca="1" si="163"/>
        <v>5</v>
      </c>
      <c r="T339" s="10">
        <f t="shared" ca="1" si="164"/>
        <v>85421</v>
      </c>
      <c r="U339" s="10">
        <f t="shared" ca="1" si="165"/>
        <v>72607.849999999991</v>
      </c>
      <c r="V339" s="10">
        <f t="shared" ca="1" si="166"/>
        <v>427105</v>
      </c>
      <c r="W339" s="10">
        <f t="shared" ca="1" si="167"/>
        <v>363039.24999999994</v>
      </c>
      <c r="X339" s="10">
        <f t="shared" ca="1" si="168"/>
        <v>64065.750000000058</v>
      </c>
      <c r="Y339" s="12">
        <f t="shared" ca="1" si="169"/>
        <v>0.15000000000000013</v>
      </c>
      <c r="Z339" s="2" t="str">
        <f t="shared" ca="1" si="170"/>
        <v>Concluída</v>
      </c>
      <c r="AA339" s="8">
        <f t="shared" ca="1" si="171"/>
        <v>27</v>
      </c>
      <c r="AB339" s="2">
        <f t="shared" ca="1" si="172"/>
        <v>3</v>
      </c>
      <c r="AC339" s="2">
        <f t="shared" ca="1" si="173"/>
        <v>3</v>
      </c>
    </row>
    <row r="340" spans="1:29" x14ac:dyDescent="0.25">
      <c r="A340" s="14" t="str">
        <f t="shared" si="145"/>
        <v>VND-00340</v>
      </c>
      <c r="B340" s="5">
        <f t="shared" ca="1" si="146"/>
        <v>45130</v>
      </c>
      <c r="C340" s="2">
        <f t="shared" ca="1" si="147"/>
        <v>2023</v>
      </c>
      <c r="D340" s="2" t="str">
        <f t="shared" ca="1" si="148"/>
        <v>julho</v>
      </c>
      <c r="E340" s="2" t="str">
        <f t="shared" ca="1" si="149"/>
        <v>2023/07</v>
      </c>
      <c r="F340" s="14" t="str">
        <f t="shared" ca="1" si="150"/>
        <v>CLI-8276</v>
      </c>
      <c r="G340" s="2" t="str">
        <f t="shared" ca="1" si="151"/>
        <v>Lucas</v>
      </c>
      <c r="H340" s="2" t="str">
        <f t="shared" ca="1" si="152"/>
        <v>Novo</v>
      </c>
      <c r="I340" s="2" t="str">
        <f t="shared" ca="1" si="153"/>
        <v>Pedro</v>
      </c>
      <c r="J340" s="14" t="str">
        <f t="shared" ca="1" si="154"/>
        <v>VCL-9039</v>
      </c>
      <c r="K340" s="2" t="str">
        <f t="shared" ca="1" si="155"/>
        <v>Corolla</v>
      </c>
      <c r="L340" s="2" t="str">
        <f t="shared" ca="1" si="156"/>
        <v>Toyota</v>
      </c>
      <c r="M340" s="2" t="str">
        <f t="shared" ca="1" si="157"/>
        <v>SUV</v>
      </c>
      <c r="N340" s="2">
        <f t="shared" ca="1" si="158"/>
        <v>2020</v>
      </c>
      <c r="O340" s="2" t="str">
        <f t="shared" ca="1" si="159"/>
        <v>Online</v>
      </c>
      <c r="P340" s="2" t="str">
        <f t="shared" ca="1" si="160"/>
        <v>Sudeste</v>
      </c>
      <c r="Q340" s="2" t="str">
        <f t="shared" ca="1" si="161"/>
        <v>SP</v>
      </c>
      <c r="R340" s="2" t="str">
        <f t="shared" ca="1" si="162"/>
        <v>Ribeirão Preto</v>
      </c>
      <c r="S340" s="8">
        <f t="shared" ca="1" si="163"/>
        <v>6</v>
      </c>
      <c r="T340" s="10">
        <f t="shared" ca="1" si="164"/>
        <v>159763</v>
      </c>
      <c r="U340" s="10">
        <f t="shared" ca="1" si="165"/>
        <v>121419.88</v>
      </c>
      <c r="V340" s="10">
        <f t="shared" ca="1" si="166"/>
        <v>958578</v>
      </c>
      <c r="W340" s="10">
        <f t="shared" ca="1" si="167"/>
        <v>728519.28</v>
      </c>
      <c r="X340" s="10">
        <f t="shared" ca="1" si="168"/>
        <v>230058.71999999997</v>
      </c>
      <c r="Y340" s="12">
        <f t="shared" ca="1" si="169"/>
        <v>0.23999999999999996</v>
      </c>
      <c r="Z340" s="2" t="str">
        <f t="shared" ca="1" si="170"/>
        <v>Concluída</v>
      </c>
      <c r="AA340" s="8">
        <f t="shared" ca="1" si="171"/>
        <v>13</v>
      </c>
      <c r="AB340" s="2">
        <f t="shared" ca="1" si="172"/>
        <v>18</v>
      </c>
      <c r="AC340" s="2">
        <f t="shared" ca="1" si="173"/>
        <v>7</v>
      </c>
    </row>
    <row r="341" spans="1:29" x14ac:dyDescent="0.25">
      <c r="A341" s="14" t="str">
        <f t="shared" si="145"/>
        <v>VND-00341</v>
      </c>
      <c r="B341" s="5">
        <f t="shared" ca="1" si="146"/>
        <v>45574</v>
      </c>
      <c r="C341" s="2">
        <f t="shared" ca="1" si="147"/>
        <v>2024</v>
      </c>
      <c r="D341" s="2" t="str">
        <f t="shared" ca="1" si="148"/>
        <v>outubro</v>
      </c>
      <c r="E341" s="2" t="str">
        <f t="shared" ca="1" si="149"/>
        <v>2024/10</v>
      </c>
      <c r="F341" s="14" t="str">
        <f t="shared" ca="1" si="150"/>
        <v>CLI-1815</v>
      </c>
      <c r="G341" s="2" t="str">
        <f t="shared" ca="1" si="151"/>
        <v>Maria</v>
      </c>
      <c r="H341" s="2" t="str">
        <f t="shared" ca="1" si="152"/>
        <v>Recorrente</v>
      </c>
      <c r="I341" s="2" t="str">
        <f t="shared" ca="1" si="153"/>
        <v>Felipe</v>
      </c>
      <c r="J341" s="14" t="str">
        <f t="shared" ca="1" si="154"/>
        <v>VCL-3189</v>
      </c>
      <c r="K341" s="2" t="str">
        <f t="shared" ca="1" si="155"/>
        <v>Corolla</v>
      </c>
      <c r="L341" s="2" t="str">
        <f t="shared" ca="1" si="156"/>
        <v>Toyota</v>
      </c>
      <c r="M341" s="2" t="str">
        <f t="shared" ca="1" si="157"/>
        <v>SUV</v>
      </c>
      <c r="N341" s="2">
        <f t="shared" ca="1" si="158"/>
        <v>2020</v>
      </c>
      <c r="O341" s="2" t="str">
        <f t="shared" ca="1" si="159"/>
        <v>Online</v>
      </c>
      <c r="P341" s="2" t="str">
        <f t="shared" ca="1" si="160"/>
        <v>Norte</v>
      </c>
      <c r="Q341" s="2" t="str">
        <f t="shared" ca="1" si="161"/>
        <v>PA</v>
      </c>
      <c r="R341" s="2" t="str">
        <f t="shared" ca="1" si="162"/>
        <v>Ananindeua</v>
      </c>
      <c r="S341" s="8">
        <f t="shared" ca="1" si="163"/>
        <v>2</v>
      </c>
      <c r="T341" s="10">
        <f t="shared" ca="1" si="164"/>
        <v>220125</v>
      </c>
      <c r="U341" s="10">
        <f t="shared" ca="1" si="165"/>
        <v>187106.25</v>
      </c>
      <c r="V341" s="10">
        <f t="shared" ca="1" si="166"/>
        <v>440250</v>
      </c>
      <c r="W341" s="10">
        <f t="shared" ca="1" si="167"/>
        <v>374212.5</v>
      </c>
      <c r="X341" s="10">
        <f t="shared" ca="1" si="168"/>
        <v>66037.5</v>
      </c>
      <c r="Y341" s="12">
        <f t="shared" ca="1" si="169"/>
        <v>0.15</v>
      </c>
      <c r="Z341" s="2" t="str">
        <f t="shared" ca="1" si="170"/>
        <v>Cancelada</v>
      </c>
      <c r="AA341" s="8">
        <f t="shared" ca="1" si="171"/>
        <v>29</v>
      </c>
      <c r="AB341" s="2">
        <f t="shared" ca="1" si="172"/>
        <v>10</v>
      </c>
      <c r="AC341" s="2">
        <f t="shared" ca="1" si="173"/>
        <v>7</v>
      </c>
    </row>
    <row r="342" spans="1:29" x14ac:dyDescent="0.25">
      <c r="A342" s="14" t="str">
        <f t="shared" si="145"/>
        <v>VND-00342</v>
      </c>
      <c r="B342" s="5">
        <f t="shared" ca="1" si="146"/>
        <v>45208</v>
      </c>
      <c r="C342" s="2">
        <f t="shared" ca="1" si="147"/>
        <v>2023</v>
      </c>
      <c r="D342" s="2" t="str">
        <f t="shared" ca="1" si="148"/>
        <v>outubro</v>
      </c>
      <c r="E342" s="2" t="str">
        <f t="shared" ca="1" si="149"/>
        <v>2023/10</v>
      </c>
      <c r="F342" s="14" t="str">
        <f t="shared" ca="1" si="150"/>
        <v>CLI-7264</v>
      </c>
      <c r="G342" s="2" t="str">
        <f t="shared" ca="1" si="151"/>
        <v>Fernanda</v>
      </c>
      <c r="H342" s="2" t="str">
        <f t="shared" ca="1" si="152"/>
        <v>Novo</v>
      </c>
      <c r="I342" s="2" t="str">
        <f t="shared" ca="1" si="153"/>
        <v>Larissa</v>
      </c>
      <c r="J342" s="14" t="str">
        <f t="shared" ca="1" si="154"/>
        <v>VCL-3438</v>
      </c>
      <c r="K342" s="2" t="str">
        <f t="shared" ca="1" si="155"/>
        <v>HB20</v>
      </c>
      <c r="L342" s="2" t="str">
        <f t="shared" ca="1" si="156"/>
        <v>Hyundai</v>
      </c>
      <c r="M342" s="2" t="str">
        <f t="shared" ca="1" si="157"/>
        <v>Popular</v>
      </c>
      <c r="N342" s="2">
        <f t="shared" ca="1" si="158"/>
        <v>2021</v>
      </c>
      <c r="O342" s="2" t="str">
        <f t="shared" ca="1" si="159"/>
        <v>Loja</v>
      </c>
      <c r="P342" s="2" t="str">
        <f t="shared" ca="1" si="160"/>
        <v>Centro-Oeste</v>
      </c>
      <c r="Q342" s="2" t="str">
        <f t="shared" ca="1" si="161"/>
        <v>GO</v>
      </c>
      <c r="R342" s="2" t="str">
        <f t="shared" ca="1" si="162"/>
        <v>Goiânia</v>
      </c>
      <c r="S342" s="8">
        <f t="shared" ca="1" si="163"/>
        <v>1</v>
      </c>
      <c r="T342" s="10">
        <f t="shared" ca="1" si="164"/>
        <v>136061</v>
      </c>
      <c r="U342" s="10">
        <f t="shared" ca="1" si="165"/>
        <v>96603.31</v>
      </c>
      <c r="V342" s="10">
        <f t="shared" ca="1" si="166"/>
        <v>136061</v>
      </c>
      <c r="W342" s="10">
        <f t="shared" ca="1" si="167"/>
        <v>96603.31</v>
      </c>
      <c r="X342" s="10">
        <f t="shared" ca="1" si="168"/>
        <v>39457.69</v>
      </c>
      <c r="Y342" s="12">
        <f t="shared" ca="1" si="169"/>
        <v>0.29000000000000004</v>
      </c>
      <c r="Z342" s="2" t="str">
        <f t="shared" ca="1" si="170"/>
        <v>Concluída</v>
      </c>
      <c r="AA342" s="8">
        <f t="shared" ca="1" si="171"/>
        <v>5</v>
      </c>
      <c r="AB342" s="2">
        <f t="shared" ca="1" si="172"/>
        <v>23</v>
      </c>
      <c r="AC342" s="2">
        <f t="shared" ca="1" si="173"/>
        <v>10</v>
      </c>
    </row>
    <row r="343" spans="1:29" x14ac:dyDescent="0.25">
      <c r="A343" s="14" t="str">
        <f t="shared" si="145"/>
        <v>VND-00343</v>
      </c>
      <c r="B343" s="5">
        <f t="shared" ca="1" si="146"/>
        <v>45521</v>
      </c>
      <c r="C343" s="2">
        <f t="shared" ca="1" si="147"/>
        <v>2024</v>
      </c>
      <c r="D343" s="2" t="str">
        <f t="shared" ca="1" si="148"/>
        <v>agosto</v>
      </c>
      <c r="E343" s="2" t="str">
        <f t="shared" ca="1" si="149"/>
        <v>2024/08</v>
      </c>
      <c r="F343" s="14" t="str">
        <f t="shared" ca="1" si="150"/>
        <v>CLI-8627</v>
      </c>
      <c r="G343" s="2" t="str">
        <f t="shared" ca="1" si="151"/>
        <v>João</v>
      </c>
      <c r="H343" s="2" t="str">
        <f t="shared" ca="1" si="152"/>
        <v>Recorrente</v>
      </c>
      <c r="I343" s="2" t="str">
        <f t="shared" ca="1" si="153"/>
        <v>Eduardo</v>
      </c>
      <c r="J343" s="14" t="str">
        <f t="shared" ca="1" si="154"/>
        <v>VCL-6626</v>
      </c>
      <c r="K343" s="2" t="str">
        <f t="shared" ca="1" si="155"/>
        <v>Corolla</v>
      </c>
      <c r="L343" s="2" t="str">
        <f t="shared" ca="1" si="156"/>
        <v>Toyota</v>
      </c>
      <c r="M343" s="2" t="str">
        <f t="shared" ca="1" si="157"/>
        <v>SUV</v>
      </c>
      <c r="N343" s="2">
        <f t="shared" ca="1" si="158"/>
        <v>2022</v>
      </c>
      <c r="O343" s="2" t="str">
        <f t="shared" ca="1" si="159"/>
        <v>Loja</v>
      </c>
      <c r="P343" s="2" t="str">
        <f t="shared" ca="1" si="160"/>
        <v>Centro-Oeste</v>
      </c>
      <c r="Q343" s="2" t="str">
        <f t="shared" ca="1" si="161"/>
        <v>DF</v>
      </c>
      <c r="R343" s="2" t="str">
        <f t="shared" ca="1" si="162"/>
        <v>Samambaia</v>
      </c>
      <c r="S343" s="8">
        <f t="shared" ca="1" si="163"/>
        <v>2</v>
      </c>
      <c r="T343" s="10">
        <f t="shared" ca="1" si="164"/>
        <v>153954</v>
      </c>
      <c r="U343" s="10">
        <f t="shared" ca="1" si="165"/>
        <v>110846.87999999999</v>
      </c>
      <c r="V343" s="10">
        <f t="shared" ca="1" si="166"/>
        <v>307908</v>
      </c>
      <c r="W343" s="10">
        <f t="shared" ca="1" si="167"/>
        <v>221693.75999999998</v>
      </c>
      <c r="X343" s="10">
        <f t="shared" ca="1" si="168"/>
        <v>86214.24000000002</v>
      </c>
      <c r="Y343" s="12">
        <f t="shared" ca="1" si="169"/>
        <v>0.28000000000000008</v>
      </c>
      <c r="Z343" s="2" t="str">
        <f t="shared" ca="1" si="170"/>
        <v>Cancelada</v>
      </c>
      <c r="AA343" s="8">
        <f t="shared" ca="1" si="171"/>
        <v>17</v>
      </c>
      <c r="AB343" s="2">
        <f t="shared" ca="1" si="172"/>
        <v>17</v>
      </c>
      <c r="AC343" s="2">
        <f t="shared" ca="1" si="173"/>
        <v>7</v>
      </c>
    </row>
    <row r="344" spans="1:29" x14ac:dyDescent="0.25">
      <c r="A344" s="14" t="str">
        <f t="shared" si="145"/>
        <v>VND-00344</v>
      </c>
      <c r="B344" s="5">
        <f t="shared" ca="1" si="146"/>
        <v>45451</v>
      </c>
      <c r="C344" s="2">
        <f t="shared" ca="1" si="147"/>
        <v>2024</v>
      </c>
      <c r="D344" s="2" t="str">
        <f t="shared" ca="1" si="148"/>
        <v>junho</v>
      </c>
      <c r="E344" s="2" t="str">
        <f t="shared" ca="1" si="149"/>
        <v>2024/06</v>
      </c>
      <c r="F344" s="14" t="str">
        <f t="shared" ca="1" si="150"/>
        <v>CLI-9296</v>
      </c>
      <c r="G344" s="2" t="str">
        <f t="shared" ca="1" si="151"/>
        <v>João</v>
      </c>
      <c r="H344" s="2" t="str">
        <f t="shared" ca="1" si="152"/>
        <v>Recorrente</v>
      </c>
      <c r="I344" s="2" t="str">
        <f t="shared" ca="1" si="153"/>
        <v>Juliana</v>
      </c>
      <c r="J344" s="14" t="str">
        <f t="shared" ca="1" si="154"/>
        <v>VCL-3786</v>
      </c>
      <c r="K344" s="2" t="str">
        <f t="shared" ca="1" si="155"/>
        <v>Corolla</v>
      </c>
      <c r="L344" s="2" t="str">
        <f t="shared" ca="1" si="156"/>
        <v>Toyota</v>
      </c>
      <c r="M344" s="2" t="str">
        <f t="shared" ca="1" si="157"/>
        <v>SUV</v>
      </c>
      <c r="N344" s="2">
        <f t="shared" ca="1" si="158"/>
        <v>2024</v>
      </c>
      <c r="O344" s="2" t="str">
        <f t="shared" ca="1" si="159"/>
        <v>Loja</v>
      </c>
      <c r="P344" s="2" t="str">
        <f t="shared" ca="1" si="160"/>
        <v>Sul</v>
      </c>
      <c r="Q344" s="2" t="str">
        <f t="shared" ca="1" si="161"/>
        <v>RS</v>
      </c>
      <c r="R344" s="2" t="str">
        <f t="shared" ca="1" si="162"/>
        <v>Porto Alegre</v>
      </c>
      <c r="S344" s="8">
        <f t="shared" ca="1" si="163"/>
        <v>10</v>
      </c>
      <c r="T344" s="10">
        <f t="shared" ca="1" si="164"/>
        <v>170941</v>
      </c>
      <c r="U344" s="10">
        <f t="shared" ca="1" si="165"/>
        <v>140171.62</v>
      </c>
      <c r="V344" s="10">
        <f t="shared" ca="1" si="166"/>
        <v>1709410</v>
      </c>
      <c r="W344" s="10">
        <f t="shared" ca="1" si="167"/>
        <v>1401716.2</v>
      </c>
      <c r="X344" s="10">
        <f t="shared" ca="1" si="168"/>
        <v>307693.80000000005</v>
      </c>
      <c r="Y344" s="12">
        <f t="shared" ca="1" si="169"/>
        <v>0.18000000000000002</v>
      </c>
      <c r="Z344" s="2" t="str">
        <f t="shared" ca="1" si="170"/>
        <v>Concluída</v>
      </c>
      <c r="AA344" s="8">
        <f t="shared" ca="1" si="171"/>
        <v>1</v>
      </c>
      <c r="AB344" s="2">
        <f t="shared" ca="1" si="172"/>
        <v>10</v>
      </c>
      <c r="AC344" s="2">
        <f t="shared" ca="1" si="173"/>
        <v>7</v>
      </c>
    </row>
    <row r="345" spans="1:29" x14ac:dyDescent="0.25">
      <c r="A345" s="14" t="str">
        <f t="shared" si="145"/>
        <v>VND-00345</v>
      </c>
      <c r="B345" s="5">
        <f t="shared" ca="1" si="146"/>
        <v>45724</v>
      </c>
      <c r="C345" s="2">
        <f t="shared" ca="1" si="147"/>
        <v>2025</v>
      </c>
      <c r="D345" s="2" t="str">
        <f t="shared" ca="1" si="148"/>
        <v>março</v>
      </c>
      <c r="E345" s="2" t="str">
        <f t="shared" ca="1" si="149"/>
        <v>2025/03</v>
      </c>
      <c r="F345" s="14" t="str">
        <f t="shared" ca="1" si="150"/>
        <v>CLI-4771</v>
      </c>
      <c r="G345" s="2" t="str">
        <f t="shared" ca="1" si="151"/>
        <v>Ana</v>
      </c>
      <c r="H345" s="2" t="str">
        <f t="shared" ca="1" si="152"/>
        <v>Novo</v>
      </c>
      <c r="I345" s="2" t="str">
        <f t="shared" ca="1" si="153"/>
        <v>Roberto</v>
      </c>
      <c r="J345" s="14" t="str">
        <f t="shared" ca="1" si="154"/>
        <v>VCL-9763</v>
      </c>
      <c r="K345" s="2" t="str">
        <f t="shared" ca="1" si="155"/>
        <v>HB20</v>
      </c>
      <c r="L345" s="2" t="str">
        <f t="shared" ca="1" si="156"/>
        <v>Hyundai</v>
      </c>
      <c r="M345" s="2" t="str">
        <f t="shared" ca="1" si="157"/>
        <v>Popular</v>
      </c>
      <c r="N345" s="2">
        <f t="shared" ca="1" si="158"/>
        <v>2019</v>
      </c>
      <c r="O345" s="2" t="str">
        <f t="shared" ca="1" si="159"/>
        <v>Loja</v>
      </c>
      <c r="P345" s="2" t="str">
        <f t="shared" ca="1" si="160"/>
        <v>Nordeste</v>
      </c>
      <c r="Q345" s="2" t="str">
        <f t="shared" ca="1" si="161"/>
        <v>BA</v>
      </c>
      <c r="R345" s="2" t="str">
        <f t="shared" ca="1" si="162"/>
        <v>Feira de Santana</v>
      </c>
      <c r="S345" s="8">
        <f t="shared" ca="1" si="163"/>
        <v>3</v>
      </c>
      <c r="T345" s="10">
        <f t="shared" ca="1" si="164"/>
        <v>178635</v>
      </c>
      <c r="U345" s="10">
        <f t="shared" ca="1" si="165"/>
        <v>144694.35</v>
      </c>
      <c r="V345" s="10">
        <f t="shared" ca="1" si="166"/>
        <v>535905</v>
      </c>
      <c r="W345" s="10">
        <f t="shared" ca="1" si="167"/>
        <v>434083.05000000005</v>
      </c>
      <c r="X345" s="10">
        <f t="shared" ca="1" si="168"/>
        <v>101821.94999999995</v>
      </c>
      <c r="Y345" s="12">
        <f t="shared" ca="1" si="169"/>
        <v>0.18999999999999992</v>
      </c>
      <c r="Z345" s="2" t="str">
        <f t="shared" ca="1" si="170"/>
        <v>Cancelada</v>
      </c>
      <c r="AA345" s="8">
        <f t="shared" ca="1" si="171"/>
        <v>17</v>
      </c>
      <c r="AB345" s="2">
        <f t="shared" ca="1" si="172"/>
        <v>19</v>
      </c>
      <c r="AC345" s="2">
        <f t="shared" ca="1" si="173"/>
        <v>10</v>
      </c>
    </row>
    <row r="346" spans="1:29" x14ac:dyDescent="0.25">
      <c r="A346" s="14" t="str">
        <f t="shared" si="145"/>
        <v>VND-00346</v>
      </c>
      <c r="B346" s="5">
        <f t="shared" ca="1" si="146"/>
        <v>45578</v>
      </c>
      <c r="C346" s="2">
        <f t="shared" ca="1" si="147"/>
        <v>2024</v>
      </c>
      <c r="D346" s="2" t="str">
        <f t="shared" ca="1" si="148"/>
        <v>outubro</v>
      </c>
      <c r="E346" s="2" t="str">
        <f t="shared" ca="1" si="149"/>
        <v>2024/10</v>
      </c>
      <c r="F346" s="14" t="str">
        <f t="shared" ca="1" si="150"/>
        <v>CLI-1530</v>
      </c>
      <c r="G346" s="2" t="str">
        <f t="shared" ca="1" si="151"/>
        <v>Fernanda</v>
      </c>
      <c r="H346" s="2" t="str">
        <f t="shared" ca="1" si="152"/>
        <v>Novo</v>
      </c>
      <c r="I346" s="2" t="str">
        <f t="shared" ca="1" si="153"/>
        <v>Tatiane</v>
      </c>
      <c r="J346" s="14" t="str">
        <f t="shared" ca="1" si="154"/>
        <v>VCL-1699</v>
      </c>
      <c r="K346" s="2" t="str">
        <f t="shared" ca="1" si="155"/>
        <v>HB20</v>
      </c>
      <c r="L346" s="2" t="str">
        <f t="shared" ca="1" si="156"/>
        <v>Hyundai</v>
      </c>
      <c r="M346" s="2" t="str">
        <f t="shared" ca="1" si="157"/>
        <v>Popular</v>
      </c>
      <c r="N346" s="2">
        <f t="shared" ca="1" si="158"/>
        <v>2020</v>
      </c>
      <c r="O346" s="2" t="str">
        <f t="shared" ca="1" si="159"/>
        <v>Online</v>
      </c>
      <c r="P346" s="2" t="str">
        <f t="shared" ca="1" si="160"/>
        <v>Norte</v>
      </c>
      <c r="Q346" s="2" t="str">
        <f t="shared" ca="1" si="161"/>
        <v>AM</v>
      </c>
      <c r="R346" s="2" t="str">
        <f t="shared" ca="1" si="162"/>
        <v>Parintins</v>
      </c>
      <c r="S346" s="8">
        <f t="shared" ca="1" si="163"/>
        <v>10</v>
      </c>
      <c r="T346" s="10">
        <f t="shared" ca="1" si="164"/>
        <v>233272</v>
      </c>
      <c r="U346" s="10">
        <f t="shared" ca="1" si="165"/>
        <v>188950.32</v>
      </c>
      <c r="V346" s="10">
        <f t="shared" ca="1" si="166"/>
        <v>2332720</v>
      </c>
      <c r="W346" s="10">
        <f t="shared" ca="1" si="167"/>
        <v>1889503.2000000002</v>
      </c>
      <c r="X346" s="10">
        <f t="shared" ca="1" si="168"/>
        <v>443216.79999999981</v>
      </c>
      <c r="Y346" s="12">
        <f t="shared" ca="1" si="169"/>
        <v>0.18999999999999992</v>
      </c>
      <c r="Z346" s="2" t="str">
        <f t="shared" ca="1" si="170"/>
        <v>Em negociação</v>
      </c>
      <c r="AA346" s="8">
        <f t="shared" ca="1" si="171"/>
        <v>2</v>
      </c>
      <c r="AB346" s="2">
        <f t="shared" ca="1" si="172"/>
        <v>22</v>
      </c>
      <c r="AC346" s="2">
        <f t="shared" ca="1" si="173"/>
        <v>10</v>
      </c>
    </row>
    <row r="347" spans="1:29" x14ac:dyDescent="0.25">
      <c r="A347" s="14" t="str">
        <f t="shared" si="145"/>
        <v>VND-00347</v>
      </c>
      <c r="B347" s="5">
        <f t="shared" ca="1" si="146"/>
        <v>45982</v>
      </c>
      <c r="C347" s="2">
        <f t="shared" ca="1" si="147"/>
        <v>2025</v>
      </c>
      <c r="D347" s="2" t="str">
        <f t="shared" ca="1" si="148"/>
        <v>novembro</v>
      </c>
      <c r="E347" s="2" t="str">
        <f t="shared" ca="1" si="149"/>
        <v>2025/11</v>
      </c>
      <c r="F347" s="14" t="str">
        <f t="shared" ca="1" si="150"/>
        <v>CLI-6464</v>
      </c>
      <c r="G347" s="2" t="str">
        <f t="shared" ca="1" si="151"/>
        <v>Fernanda</v>
      </c>
      <c r="H347" s="2" t="str">
        <f t="shared" ca="1" si="152"/>
        <v>Novo</v>
      </c>
      <c r="I347" s="2" t="str">
        <f t="shared" ca="1" si="153"/>
        <v>André</v>
      </c>
      <c r="J347" s="14" t="str">
        <f t="shared" ca="1" si="154"/>
        <v>VCL-2109</v>
      </c>
      <c r="K347" s="2" t="str">
        <f t="shared" ca="1" si="155"/>
        <v>HB20</v>
      </c>
      <c r="L347" s="2" t="str">
        <f t="shared" ca="1" si="156"/>
        <v>Hyundai</v>
      </c>
      <c r="M347" s="2" t="str">
        <f t="shared" ca="1" si="157"/>
        <v>Popular</v>
      </c>
      <c r="N347" s="2">
        <f t="shared" ca="1" si="158"/>
        <v>2024</v>
      </c>
      <c r="O347" s="2" t="str">
        <f t="shared" ca="1" si="159"/>
        <v>Loja</v>
      </c>
      <c r="P347" s="2" t="str">
        <f t="shared" ca="1" si="160"/>
        <v>Nordeste</v>
      </c>
      <c r="Q347" s="2" t="str">
        <f t="shared" ca="1" si="161"/>
        <v>BA</v>
      </c>
      <c r="R347" s="2" t="str">
        <f t="shared" ca="1" si="162"/>
        <v>Feira de Santana</v>
      </c>
      <c r="S347" s="8">
        <f t="shared" ca="1" si="163"/>
        <v>2</v>
      </c>
      <c r="T347" s="10">
        <f t="shared" ca="1" si="164"/>
        <v>225523</v>
      </c>
      <c r="U347" s="10">
        <f t="shared" ca="1" si="165"/>
        <v>187184.09</v>
      </c>
      <c r="V347" s="10">
        <f t="shared" ca="1" si="166"/>
        <v>451046</v>
      </c>
      <c r="W347" s="10">
        <f t="shared" ca="1" si="167"/>
        <v>374368.18</v>
      </c>
      <c r="X347" s="10">
        <f t="shared" ca="1" si="168"/>
        <v>76677.820000000007</v>
      </c>
      <c r="Y347" s="12">
        <f t="shared" ca="1" si="169"/>
        <v>0.17</v>
      </c>
      <c r="Z347" s="2" t="str">
        <f t="shared" ca="1" si="170"/>
        <v>Concluída</v>
      </c>
      <c r="AA347" s="8">
        <f t="shared" ca="1" si="171"/>
        <v>11</v>
      </c>
      <c r="AB347" s="2">
        <f t="shared" ca="1" si="172"/>
        <v>14</v>
      </c>
      <c r="AC347" s="2">
        <f t="shared" ca="1" si="173"/>
        <v>10</v>
      </c>
    </row>
    <row r="348" spans="1:29" x14ac:dyDescent="0.25">
      <c r="A348" s="14" t="str">
        <f t="shared" si="145"/>
        <v>VND-00348</v>
      </c>
      <c r="B348" s="5">
        <f t="shared" ca="1" si="146"/>
        <v>44976</v>
      </c>
      <c r="C348" s="2">
        <f t="shared" ca="1" si="147"/>
        <v>2023</v>
      </c>
      <c r="D348" s="2" t="str">
        <f t="shared" ca="1" si="148"/>
        <v>fevereiro</v>
      </c>
      <c r="E348" s="2" t="str">
        <f t="shared" ca="1" si="149"/>
        <v>2023/02</v>
      </c>
      <c r="F348" s="14" t="str">
        <f t="shared" ca="1" si="150"/>
        <v>CLI-8627</v>
      </c>
      <c r="G348" s="2" t="str">
        <f t="shared" ca="1" si="151"/>
        <v>Carlos</v>
      </c>
      <c r="H348" s="2" t="str">
        <f t="shared" ca="1" si="152"/>
        <v>Novo</v>
      </c>
      <c r="I348" s="2" t="str">
        <f t="shared" ca="1" si="153"/>
        <v>Ricardo</v>
      </c>
      <c r="J348" s="14" t="str">
        <f t="shared" ca="1" si="154"/>
        <v>VCL-8993</v>
      </c>
      <c r="K348" s="2" t="str">
        <f t="shared" ca="1" si="155"/>
        <v>HB20</v>
      </c>
      <c r="L348" s="2" t="str">
        <f t="shared" ca="1" si="156"/>
        <v>Hyundai</v>
      </c>
      <c r="M348" s="2" t="str">
        <f t="shared" ca="1" si="157"/>
        <v>Popular</v>
      </c>
      <c r="N348" s="2">
        <f t="shared" ca="1" si="158"/>
        <v>2015</v>
      </c>
      <c r="O348" s="2" t="str">
        <f t="shared" ca="1" si="159"/>
        <v>Loja</v>
      </c>
      <c r="P348" s="2" t="str">
        <f t="shared" ca="1" si="160"/>
        <v>Norte</v>
      </c>
      <c r="Q348" s="2" t="str">
        <f t="shared" ca="1" si="161"/>
        <v>PA</v>
      </c>
      <c r="R348" s="2" t="str">
        <f t="shared" ca="1" si="162"/>
        <v>Santarém</v>
      </c>
      <c r="S348" s="8">
        <f t="shared" ca="1" si="163"/>
        <v>1</v>
      </c>
      <c r="T348" s="10">
        <f t="shared" ca="1" si="164"/>
        <v>126833</v>
      </c>
      <c r="U348" s="10">
        <f t="shared" ca="1" si="165"/>
        <v>100198.07</v>
      </c>
      <c r="V348" s="10">
        <f t="shared" ca="1" si="166"/>
        <v>126833</v>
      </c>
      <c r="W348" s="10">
        <f t="shared" ca="1" si="167"/>
        <v>100198.07</v>
      </c>
      <c r="X348" s="10">
        <f t="shared" ca="1" si="168"/>
        <v>26634.929999999993</v>
      </c>
      <c r="Y348" s="12">
        <f t="shared" ca="1" si="169"/>
        <v>0.20999999999999994</v>
      </c>
      <c r="Z348" s="2" t="str">
        <f t="shared" ca="1" si="170"/>
        <v>Cancelada</v>
      </c>
      <c r="AA348" s="8">
        <f t="shared" ca="1" si="171"/>
        <v>20</v>
      </c>
      <c r="AB348" s="2">
        <f t="shared" ca="1" si="172"/>
        <v>30</v>
      </c>
      <c r="AC348" s="2">
        <f t="shared" ca="1" si="173"/>
        <v>10</v>
      </c>
    </row>
    <row r="349" spans="1:29" x14ac:dyDescent="0.25">
      <c r="A349" s="14" t="str">
        <f t="shared" si="145"/>
        <v>VND-00349</v>
      </c>
      <c r="B349" s="5">
        <f t="shared" ca="1" si="146"/>
        <v>45788</v>
      </c>
      <c r="C349" s="2">
        <f t="shared" ca="1" si="147"/>
        <v>2025</v>
      </c>
      <c r="D349" s="2" t="str">
        <f t="shared" ca="1" si="148"/>
        <v>maio</v>
      </c>
      <c r="E349" s="2" t="str">
        <f t="shared" ca="1" si="149"/>
        <v>2025/05</v>
      </c>
      <c r="F349" s="14" t="str">
        <f t="shared" ca="1" si="150"/>
        <v>CLI-5529</v>
      </c>
      <c r="G349" s="2" t="str">
        <f t="shared" ca="1" si="151"/>
        <v>Juliana</v>
      </c>
      <c r="H349" s="2" t="str">
        <f t="shared" ca="1" si="152"/>
        <v>Recorrente</v>
      </c>
      <c r="I349" s="2" t="str">
        <f t="shared" ca="1" si="153"/>
        <v>André</v>
      </c>
      <c r="J349" s="14" t="str">
        <f t="shared" ca="1" si="154"/>
        <v>VCL-1484</v>
      </c>
      <c r="K349" s="2" t="str">
        <f t="shared" ca="1" si="155"/>
        <v>HB20</v>
      </c>
      <c r="L349" s="2" t="str">
        <f t="shared" ca="1" si="156"/>
        <v>Hyundai</v>
      </c>
      <c r="M349" s="2" t="str">
        <f t="shared" ca="1" si="157"/>
        <v>Popular</v>
      </c>
      <c r="N349" s="2">
        <f t="shared" ca="1" si="158"/>
        <v>2024</v>
      </c>
      <c r="O349" s="2" t="str">
        <f t="shared" ca="1" si="159"/>
        <v>Loja</v>
      </c>
      <c r="P349" s="2" t="str">
        <f t="shared" ca="1" si="160"/>
        <v>Nordeste</v>
      </c>
      <c r="Q349" s="2" t="str">
        <f t="shared" ca="1" si="161"/>
        <v>CE</v>
      </c>
      <c r="R349" s="2" t="str">
        <f t="shared" ca="1" si="162"/>
        <v>Sobral</v>
      </c>
      <c r="S349" s="8">
        <f t="shared" ca="1" si="163"/>
        <v>3</v>
      </c>
      <c r="T349" s="10">
        <f t="shared" ca="1" si="164"/>
        <v>233717</v>
      </c>
      <c r="U349" s="10">
        <f t="shared" ca="1" si="165"/>
        <v>165939.06999999998</v>
      </c>
      <c r="V349" s="10">
        <f t="shared" ca="1" si="166"/>
        <v>701151</v>
      </c>
      <c r="W349" s="10">
        <f t="shared" ca="1" si="167"/>
        <v>497817.20999999996</v>
      </c>
      <c r="X349" s="10">
        <f t="shared" ca="1" si="168"/>
        <v>203333.79000000004</v>
      </c>
      <c r="Y349" s="12">
        <f t="shared" ca="1" si="169"/>
        <v>0.29000000000000004</v>
      </c>
      <c r="Z349" s="2" t="str">
        <f t="shared" ca="1" si="170"/>
        <v>Cancelada</v>
      </c>
      <c r="AA349" s="8">
        <f t="shared" ca="1" si="171"/>
        <v>23</v>
      </c>
      <c r="AB349" s="2">
        <f t="shared" ca="1" si="172"/>
        <v>15</v>
      </c>
      <c r="AC349" s="2">
        <f t="shared" ca="1" si="173"/>
        <v>10</v>
      </c>
    </row>
    <row r="350" spans="1:29" x14ac:dyDescent="0.25">
      <c r="A350" s="14" t="str">
        <f t="shared" si="145"/>
        <v>VND-00350</v>
      </c>
      <c r="B350" s="5">
        <f t="shared" ca="1" si="146"/>
        <v>45141</v>
      </c>
      <c r="C350" s="2">
        <f t="shared" ca="1" si="147"/>
        <v>2023</v>
      </c>
      <c r="D350" s="2" t="str">
        <f t="shared" ca="1" si="148"/>
        <v>agosto</v>
      </c>
      <c r="E350" s="2" t="str">
        <f t="shared" ca="1" si="149"/>
        <v>2023/08</v>
      </c>
      <c r="F350" s="14" t="str">
        <f t="shared" ca="1" si="150"/>
        <v>CLI-4995</v>
      </c>
      <c r="G350" s="2" t="str">
        <f t="shared" ca="1" si="151"/>
        <v>João</v>
      </c>
      <c r="H350" s="2" t="str">
        <f t="shared" ca="1" si="152"/>
        <v>Novo</v>
      </c>
      <c r="I350" s="2" t="str">
        <f t="shared" ca="1" si="153"/>
        <v>Carlos</v>
      </c>
      <c r="J350" s="14" t="str">
        <f t="shared" ca="1" si="154"/>
        <v>VCL-6860</v>
      </c>
      <c r="K350" s="2" t="str">
        <f t="shared" ca="1" si="155"/>
        <v>Compass</v>
      </c>
      <c r="L350" s="2" t="str">
        <f t="shared" ca="1" si="156"/>
        <v>Jeep</v>
      </c>
      <c r="M350" s="2" t="str">
        <f t="shared" ca="1" si="157"/>
        <v>SUV</v>
      </c>
      <c r="N350" s="2">
        <f t="shared" ca="1" si="158"/>
        <v>2020</v>
      </c>
      <c r="O350" s="2" t="str">
        <f t="shared" ca="1" si="159"/>
        <v>Loja</v>
      </c>
      <c r="P350" s="2" t="str">
        <f t="shared" ca="1" si="160"/>
        <v>Norte</v>
      </c>
      <c r="Q350" s="2" t="str">
        <f t="shared" ca="1" si="161"/>
        <v>PA</v>
      </c>
      <c r="R350" s="2" t="str">
        <f t="shared" ca="1" si="162"/>
        <v>Castanhal</v>
      </c>
      <c r="S350" s="8">
        <f t="shared" ca="1" si="163"/>
        <v>9</v>
      </c>
      <c r="T350" s="10">
        <f t="shared" ca="1" si="164"/>
        <v>234231</v>
      </c>
      <c r="U350" s="10">
        <f t="shared" ca="1" si="165"/>
        <v>182700.18</v>
      </c>
      <c r="V350" s="10">
        <f t="shared" ca="1" si="166"/>
        <v>2108079</v>
      </c>
      <c r="W350" s="10">
        <f t="shared" ca="1" si="167"/>
        <v>1644301.6199999999</v>
      </c>
      <c r="X350" s="10">
        <f t="shared" ca="1" si="168"/>
        <v>463777.38000000012</v>
      </c>
      <c r="Y350" s="12">
        <f t="shared" ca="1" si="169"/>
        <v>0.22000000000000006</v>
      </c>
      <c r="Z350" s="2" t="str">
        <f t="shared" ca="1" si="170"/>
        <v>Concluída</v>
      </c>
      <c r="AA350" s="8">
        <f t="shared" ca="1" si="171"/>
        <v>16</v>
      </c>
      <c r="AB350" s="2">
        <f t="shared" ca="1" si="172"/>
        <v>11</v>
      </c>
      <c r="AC350" s="2">
        <f t="shared" ca="1" si="173"/>
        <v>7</v>
      </c>
    </row>
    <row r="351" spans="1:29" x14ac:dyDescent="0.25">
      <c r="A351" s="14" t="str">
        <f t="shared" si="145"/>
        <v>VND-00351</v>
      </c>
      <c r="B351" s="5">
        <f t="shared" ca="1" si="146"/>
        <v>45465</v>
      </c>
      <c r="C351" s="2">
        <f t="shared" ca="1" si="147"/>
        <v>2024</v>
      </c>
      <c r="D351" s="2" t="str">
        <f t="shared" ca="1" si="148"/>
        <v>junho</v>
      </c>
      <c r="E351" s="2" t="str">
        <f t="shared" ca="1" si="149"/>
        <v>2024/06</v>
      </c>
      <c r="F351" s="14" t="str">
        <f t="shared" ca="1" si="150"/>
        <v>CLI-3033</v>
      </c>
      <c r="G351" s="2" t="str">
        <f t="shared" ca="1" si="151"/>
        <v>Lucas</v>
      </c>
      <c r="H351" s="2" t="str">
        <f t="shared" ca="1" si="152"/>
        <v>Recorrente</v>
      </c>
      <c r="I351" s="2" t="str">
        <f t="shared" ca="1" si="153"/>
        <v>Rafael</v>
      </c>
      <c r="J351" s="14" t="str">
        <f t="shared" ca="1" si="154"/>
        <v>VCL-4860</v>
      </c>
      <c r="K351" s="2" t="str">
        <f t="shared" ca="1" si="155"/>
        <v>Onix</v>
      </c>
      <c r="L351" s="2" t="str">
        <f t="shared" ca="1" si="156"/>
        <v>Chevrolet</v>
      </c>
      <c r="M351" s="2" t="str">
        <f t="shared" ca="1" si="157"/>
        <v>Popular</v>
      </c>
      <c r="N351" s="2">
        <f t="shared" ca="1" si="158"/>
        <v>2022</v>
      </c>
      <c r="O351" s="2" t="str">
        <f t="shared" ca="1" si="159"/>
        <v>Loja</v>
      </c>
      <c r="P351" s="2" t="str">
        <f t="shared" ca="1" si="160"/>
        <v>Sul</v>
      </c>
      <c r="Q351" s="2" t="str">
        <f t="shared" ca="1" si="161"/>
        <v>PR</v>
      </c>
      <c r="R351" s="2" t="str">
        <f t="shared" ca="1" si="162"/>
        <v>Maringá</v>
      </c>
      <c r="S351" s="8">
        <f t="shared" ca="1" si="163"/>
        <v>8</v>
      </c>
      <c r="T351" s="10">
        <f t="shared" ca="1" si="164"/>
        <v>67390</v>
      </c>
      <c r="U351" s="10">
        <f t="shared" ca="1" si="165"/>
        <v>48520.799999999996</v>
      </c>
      <c r="V351" s="10">
        <f t="shared" ca="1" si="166"/>
        <v>539120</v>
      </c>
      <c r="W351" s="10">
        <f t="shared" ca="1" si="167"/>
        <v>388166.39999999997</v>
      </c>
      <c r="X351" s="10">
        <f t="shared" ca="1" si="168"/>
        <v>150953.60000000003</v>
      </c>
      <c r="Y351" s="12">
        <f t="shared" ca="1" si="169"/>
        <v>0.28000000000000008</v>
      </c>
      <c r="Z351" s="2" t="str">
        <f t="shared" ca="1" si="170"/>
        <v>Concluída</v>
      </c>
      <c r="AA351" s="8">
        <f t="shared" ca="1" si="171"/>
        <v>16</v>
      </c>
      <c r="AB351" s="2">
        <f t="shared" ca="1" si="172"/>
        <v>16</v>
      </c>
      <c r="AC351" s="2">
        <f t="shared" ca="1" si="173"/>
        <v>10</v>
      </c>
    </row>
    <row r="352" spans="1:29" x14ac:dyDescent="0.25">
      <c r="A352" s="14" t="str">
        <f t="shared" si="145"/>
        <v>VND-00352</v>
      </c>
      <c r="B352" s="5">
        <f t="shared" ca="1" si="146"/>
        <v>45941</v>
      </c>
      <c r="C352" s="2">
        <f t="shared" ca="1" si="147"/>
        <v>2025</v>
      </c>
      <c r="D352" s="2" t="str">
        <f t="shared" ca="1" si="148"/>
        <v>outubro</v>
      </c>
      <c r="E352" s="2" t="str">
        <f t="shared" ca="1" si="149"/>
        <v>2025/10</v>
      </c>
      <c r="F352" s="14" t="str">
        <f t="shared" ca="1" si="150"/>
        <v>CLI-1754</v>
      </c>
      <c r="G352" s="2" t="str">
        <f t="shared" ca="1" si="151"/>
        <v>João</v>
      </c>
      <c r="H352" s="2" t="str">
        <f t="shared" ca="1" si="152"/>
        <v>Recorrente</v>
      </c>
      <c r="I352" s="2" t="str">
        <f t="shared" ca="1" si="153"/>
        <v>André</v>
      </c>
      <c r="J352" s="14" t="str">
        <f t="shared" ca="1" si="154"/>
        <v>VCL-3643</v>
      </c>
      <c r="K352" s="2" t="str">
        <f t="shared" ca="1" si="155"/>
        <v>Corolla</v>
      </c>
      <c r="L352" s="2" t="str">
        <f t="shared" ca="1" si="156"/>
        <v>Toyota</v>
      </c>
      <c r="M352" s="2" t="str">
        <f t="shared" ca="1" si="157"/>
        <v>SUV</v>
      </c>
      <c r="N352" s="2">
        <f t="shared" ca="1" si="158"/>
        <v>2024</v>
      </c>
      <c r="O352" s="2" t="str">
        <f t="shared" ca="1" si="159"/>
        <v>Loja</v>
      </c>
      <c r="P352" s="2" t="str">
        <f t="shared" ca="1" si="160"/>
        <v>Nordeste</v>
      </c>
      <c r="Q352" s="2" t="str">
        <f t="shared" ca="1" si="161"/>
        <v>PE</v>
      </c>
      <c r="R352" s="2" t="str">
        <f t="shared" ca="1" si="162"/>
        <v>Recife</v>
      </c>
      <c r="S352" s="8">
        <f t="shared" ca="1" si="163"/>
        <v>9</v>
      </c>
      <c r="T352" s="10">
        <f t="shared" ca="1" si="164"/>
        <v>125232</v>
      </c>
      <c r="U352" s="10">
        <f t="shared" ca="1" si="165"/>
        <v>91419.36</v>
      </c>
      <c r="V352" s="10">
        <f t="shared" ca="1" si="166"/>
        <v>1127088</v>
      </c>
      <c r="W352" s="10">
        <f t="shared" ca="1" si="167"/>
        <v>822774.24</v>
      </c>
      <c r="X352" s="10">
        <f t="shared" ca="1" si="168"/>
        <v>304313.76</v>
      </c>
      <c r="Y352" s="12">
        <f t="shared" ca="1" si="169"/>
        <v>0.27</v>
      </c>
      <c r="Z352" s="2" t="str">
        <f t="shared" ca="1" si="170"/>
        <v>Cancelada</v>
      </c>
      <c r="AA352" s="8">
        <f t="shared" ca="1" si="171"/>
        <v>6</v>
      </c>
      <c r="AB352" s="2">
        <f t="shared" ca="1" si="172"/>
        <v>18</v>
      </c>
      <c r="AC352" s="2">
        <f t="shared" ca="1" si="173"/>
        <v>7</v>
      </c>
    </row>
    <row r="353" spans="1:29" x14ac:dyDescent="0.25">
      <c r="A353" s="14" t="str">
        <f t="shared" si="145"/>
        <v>VND-00353</v>
      </c>
      <c r="B353" s="5">
        <f t="shared" ca="1" si="146"/>
        <v>45976</v>
      </c>
      <c r="C353" s="2">
        <f t="shared" ca="1" si="147"/>
        <v>2025</v>
      </c>
      <c r="D353" s="2" t="str">
        <f t="shared" ca="1" si="148"/>
        <v>novembro</v>
      </c>
      <c r="E353" s="2" t="str">
        <f t="shared" ca="1" si="149"/>
        <v>2025/11</v>
      </c>
      <c r="F353" s="14" t="str">
        <f t="shared" ca="1" si="150"/>
        <v>CLI-7119</v>
      </c>
      <c r="G353" s="2" t="str">
        <f t="shared" ca="1" si="151"/>
        <v>Carlos</v>
      </c>
      <c r="H353" s="2" t="str">
        <f t="shared" ca="1" si="152"/>
        <v>Novo</v>
      </c>
      <c r="I353" s="2" t="str">
        <f t="shared" ca="1" si="153"/>
        <v>Fernanda</v>
      </c>
      <c r="J353" s="14" t="str">
        <f t="shared" ca="1" si="154"/>
        <v>VCL-3146</v>
      </c>
      <c r="K353" s="2" t="str">
        <f t="shared" ca="1" si="155"/>
        <v>Onix</v>
      </c>
      <c r="L353" s="2" t="str">
        <f t="shared" ca="1" si="156"/>
        <v>Chevrolet</v>
      </c>
      <c r="M353" s="2" t="str">
        <f t="shared" ca="1" si="157"/>
        <v>Popular</v>
      </c>
      <c r="N353" s="2">
        <f t="shared" ca="1" si="158"/>
        <v>2020</v>
      </c>
      <c r="O353" s="2" t="str">
        <f t="shared" ca="1" si="159"/>
        <v>Loja</v>
      </c>
      <c r="P353" s="2" t="str">
        <f t="shared" ca="1" si="160"/>
        <v>Nordeste</v>
      </c>
      <c r="Q353" s="2" t="str">
        <f t="shared" ca="1" si="161"/>
        <v>PE</v>
      </c>
      <c r="R353" s="2" t="str">
        <f t="shared" ca="1" si="162"/>
        <v>Caruaru</v>
      </c>
      <c r="S353" s="8">
        <f t="shared" ca="1" si="163"/>
        <v>1</v>
      </c>
      <c r="T353" s="10">
        <f t="shared" ca="1" si="164"/>
        <v>155197</v>
      </c>
      <c r="U353" s="10">
        <f t="shared" ca="1" si="165"/>
        <v>121053.66</v>
      </c>
      <c r="V353" s="10">
        <f t="shared" ca="1" si="166"/>
        <v>155197</v>
      </c>
      <c r="W353" s="10">
        <f t="shared" ca="1" si="167"/>
        <v>121053.66</v>
      </c>
      <c r="X353" s="10">
        <f t="shared" ca="1" si="168"/>
        <v>34143.339999999997</v>
      </c>
      <c r="Y353" s="12">
        <f t="shared" ca="1" si="169"/>
        <v>0.21999999999999997</v>
      </c>
      <c r="Z353" s="2" t="str">
        <f t="shared" ca="1" si="170"/>
        <v>Concluída</v>
      </c>
      <c r="AA353" s="8">
        <f t="shared" ca="1" si="171"/>
        <v>25</v>
      </c>
      <c r="AB353" s="2">
        <f t="shared" ca="1" si="172"/>
        <v>18</v>
      </c>
      <c r="AC353" s="2">
        <f t="shared" ca="1" si="173"/>
        <v>10</v>
      </c>
    </row>
    <row r="354" spans="1:29" x14ac:dyDescent="0.25">
      <c r="A354" s="14" t="str">
        <f t="shared" si="145"/>
        <v>VND-00354</v>
      </c>
      <c r="B354" s="5">
        <f t="shared" ca="1" si="146"/>
        <v>45885</v>
      </c>
      <c r="C354" s="2">
        <f t="shared" ca="1" si="147"/>
        <v>2025</v>
      </c>
      <c r="D354" s="2" t="str">
        <f t="shared" ca="1" si="148"/>
        <v>agosto</v>
      </c>
      <c r="E354" s="2" t="str">
        <f t="shared" ca="1" si="149"/>
        <v>2025/08</v>
      </c>
      <c r="F354" s="14" t="str">
        <f t="shared" ca="1" si="150"/>
        <v>CLI-4677</v>
      </c>
      <c r="G354" s="2" t="str">
        <f t="shared" ca="1" si="151"/>
        <v>Maria</v>
      </c>
      <c r="H354" s="2" t="str">
        <f t="shared" ca="1" si="152"/>
        <v>Novo</v>
      </c>
      <c r="I354" s="2" t="str">
        <f t="shared" ca="1" si="153"/>
        <v>Vinicius</v>
      </c>
      <c r="J354" s="14" t="str">
        <f t="shared" ca="1" si="154"/>
        <v>VCL-3990</v>
      </c>
      <c r="K354" s="2" t="str">
        <f t="shared" ca="1" si="155"/>
        <v>Compass</v>
      </c>
      <c r="L354" s="2" t="str">
        <f t="shared" ca="1" si="156"/>
        <v>Jeep</v>
      </c>
      <c r="M354" s="2" t="str">
        <f t="shared" ca="1" si="157"/>
        <v>SUV</v>
      </c>
      <c r="N354" s="2">
        <f t="shared" ca="1" si="158"/>
        <v>2021</v>
      </c>
      <c r="O354" s="2" t="str">
        <f t="shared" ca="1" si="159"/>
        <v>Loja</v>
      </c>
      <c r="P354" s="2" t="str">
        <f t="shared" ca="1" si="160"/>
        <v>Centro-Oeste</v>
      </c>
      <c r="Q354" s="2" t="str">
        <f t="shared" ca="1" si="161"/>
        <v>GO</v>
      </c>
      <c r="R354" s="2" t="str">
        <f t="shared" ca="1" si="162"/>
        <v>Aparecida de Goiânia</v>
      </c>
      <c r="S354" s="8">
        <f t="shared" ca="1" si="163"/>
        <v>5</v>
      </c>
      <c r="T354" s="10">
        <f t="shared" ca="1" si="164"/>
        <v>104105</v>
      </c>
      <c r="U354" s="10">
        <f t="shared" ca="1" si="165"/>
        <v>74955.599999999991</v>
      </c>
      <c r="V354" s="10">
        <f t="shared" ca="1" si="166"/>
        <v>520525</v>
      </c>
      <c r="W354" s="10">
        <f t="shared" ca="1" si="167"/>
        <v>374777.99999999994</v>
      </c>
      <c r="X354" s="10">
        <f t="shared" ca="1" si="168"/>
        <v>145747.00000000006</v>
      </c>
      <c r="Y354" s="12">
        <f t="shared" ca="1" si="169"/>
        <v>0.28000000000000014</v>
      </c>
      <c r="Z354" s="2" t="str">
        <f t="shared" ca="1" si="170"/>
        <v>Em negociação</v>
      </c>
      <c r="AA354" s="8">
        <f t="shared" ca="1" si="171"/>
        <v>12</v>
      </c>
      <c r="AB354" s="2">
        <f t="shared" ca="1" si="172"/>
        <v>17</v>
      </c>
      <c r="AC354" s="2">
        <f t="shared" ca="1" si="173"/>
        <v>7</v>
      </c>
    </row>
    <row r="355" spans="1:29" x14ac:dyDescent="0.25">
      <c r="A355" s="14" t="str">
        <f t="shared" si="145"/>
        <v>VND-00355</v>
      </c>
      <c r="B355" s="5">
        <f t="shared" ca="1" si="146"/>
        <v>45339</v>
      </c>
      <c r="C355" s="2">
        <f t="shared" ca="1" si="147"/>
        <v>2024</v>
      </c>
      <c r="D355" s="2" t="str">
        <f t="shared" ca="1" si="148"/>
        <v>fevereiro</v>
      </c>
      <c r="E355" s="2" t="str">
        <f t="shared" ca="1" si="149"/>
        <v>2024/02</v>
      </c>
      <c r="F355" s="14" t="str">
        <f t="shared" ca="1" si="150"/>
        <v>CLI-8604</v>
      </c>
      <c r="G355" s="2" t="str">
        <f t="shared" ca="1" si="151"/>
        <v>Juliana</v>
      </c>
      <c r="H355" s="2" t="str">
        <f t="shared" ca="1" si="152"/>
        <v>Novo</v>
      </c>
      <c r="I355" s="2" t="str">
        <f t="shared" ca="1" si="153"/>
        <v>Gustavo</v>
      </c>
      <c r="J355" s="14" t="str">
        <f t="shared" ca="1" si="154"/>
        <v>VCL-2658</v>
      </c>
      <c r="K355" s="2" t="str">
        <f t="shared" ca="1" si="155"/>
        <v>BMW X1</v>
      </c>
      <c r="L355" s="2" t="str">
        <f t="shared" ca="1" si="156"/>
        <v>BMW</v>
      </c>
      <c r="M355" s="2" t="str">
        <f t="shared" ca="1" si="157"/>
        <v>Luxo</v>
      </c>
      <c r="N355" s="2">
        <f t="shared" ca="1" si="158"/>
        <v>2023</v>
      </c>
      <c r="O355" s="2" t="str">
        <f t="shared" ca="1" si="159"/>
        <v>Loja</v>
      </c>
      <c r="P355" s="2" t="str">
        <f t="shared" ca="1" si="160"/>
        <v>Centro-Oeste</v>
      </c>
      <c r="Q355" s="2" t="str">
        <f t="shared" ca="1" si="161"/>
        <v>MT</v>
      </c>
      <c r="R355" s="2" t="str">
        <f t="shared" ca="1" si="162"/>
        <v>Rondonópolis</v>
      </c>
      <c r="S355" s="8">
        <f t="shared" ca="1" si="163"/>
        <v>7</v>
      </c>
      <c r="T355" s="10">
        <f t="shared" ca="1" si="164"/>
        <v>249640</v>
      </c>
      <c r="U355" s="10">
        <f t="shared" ca="1" si="165"/>
        <v>187230</v>
      </c>
      <c r="V355" s="10">
        <f t="shared" ca="1" si="166"/>
        <v>1747480</v>
      </c>
      <c r="W355" s="10">
        <f t="shared" ca="1" si="167"/>
        <v>1310610</v>
      </c>
      <c r="X355" s="10">
        <f t="shared" ca="1" si="168"/>
        <v>436870</v>
      </c>
      <c r="Y355" s="12">
        <f t="shared" ca="1" si="169"/>
        <v>0.25</v>
      </c>
      <c r="Z355" s="2" t="str">
        <f t="shared" ca="1" si="170"/>
        <v>Em negociação</v>
      </c>
      <c r="AA355" s="8">
        <f t="shared" ca="1" si="171"/>
        <v>15</v>
      </c>
      <c r="AB355" s="2">
        <f t="shared" ca="1" si="172"/>
        <v>10</v>
      </c>
      <c r="AC355" s="2">
        <f t="shared" ca="1" si="173"/>
        <v>3</v>
      </c>
    </row>
    <row r="356" spans="1:29" x14ac:dyDescent="0.25">
      <c r="A356" s="14" t="str">
        <f t="shared" si="145"/>
        <v>VND-00356</v>
      </c>
      <c r="B356" s="5">
        <f t="shared" ca="1" si="146"/>
        <v>44971</v>
      </c>
      <c r="C356" s="2">
        <f t="shared" ca="1" si="147"/>
        <v>2023</v>
      </c>
      <c r="D356" s="2" t="str">
        <f t="shared" ca="1" si="148"/>
        <v>fevereiro</v>
      </c>
      <c r="E356" s="2" t="str">
        <f t="shared" ca="1" si="149"/>
        <v>2023/02</v>
      </c>
      <c r="F356" s="14" t="str">
        <f t="shared" ca="1" si="150"/>
        <v>CLI-9509</v>
      </c>
      <c r="G356" s="2" t="str">
        <f t="shared" ca="1" si="151"/>
        <v>Juliana</v>
      </c>
      <c r="H356" s="2" t="str">
        <f t="shared" ca="1" si="152"/>
        <v>Novo</v>
      </c>
      <c r="I356" s="2" t="str">
        <f t="shared" ca="1" si="153"/>
        <v>Rafael</v>
      </c>
      <c r="J356" s="14" t="str">
        <f t="shared" ca="1" si="154"/>
        <v>VCL-9722</v>
      </c>
      <c r="K356" s="2" t="str">
        <f t="shared" ca="1" si="155"/>
        <v>Onix</v>
      </c>
      <c r="L356" s="2" t="str">
        <f t="shared" ca="1" si="156"/>
        <v>Chevrolet</v>
      </c>
      <c r="M356" s="2" t="str">
        <f t="shared" ca="1" si="157"/>
        <v>Popular</v>
      </c>
      <c r="N356" s="2">
        <f t="shared" ca="1" si="158"/>
        <v>2021</v>
      </c>
      <c r="O356" s="2" t="str">
        <f t="shared" ca="1" si="159"/>
        <v>Loja</v>
      </c>
      <c r="P356" s="2" t="str">
        <f t="shared" ca="1" si="160"/>
        <v>Sul</v>
      </c>
      <c r="Q356" s="2" t="str">
        <f t="shared" ca="1" si="161"/>
        <v>PR</v>
      </c>
      <c r="R356" s="2" t="str">
        <f t="shared" ca="1" si="162"/>
        <v>Curitiba</v>
      </c>
      <c r="S356" s="8">
        <f t="shared" ca="1" si="163"/>
        <v>5</v>
      </c>
      <c r="T356" s="10">
        <f t="shared" ca="1" si="164"/>
        <v>201853</v>
      </c>
      <c r="U356" s="10">
        <f t="shared" ca="1" si="165"/>
        <v>147352.69</v>
      </c>
      <c r="V356" s="10">
        <f t="shared" ca="1" si="166"/>
        <v>1009265</v>
      </c>
      <c r="W356" s="10">
        <f t="shared" ca="1" si="167"/>
        <v>736763.45</v>
      </c>
      <c r="X356" s="10">
        <f t="shared" ca="1" si="168"/>
        <v>272501.55000000005</v>
      </c>
      <c r="Y356" s="12">
        <f t="shared" ca="1" si="169"/>
        <v>0.27000000000000007</v>
      </c>
      <c r="Z356" s="2" t="str">
        <f t="shared" ca="1" si="170"/>
        <v>Cancelada</v>
      </c>
      <c r="AA356" s="8">
        <f t="shared" ca="1" si="171"/>
        <v>5</v>
      </c>
      <c r="AB356" s="2">
        <f t="shared" ca="1" si="172"/>
        <v>28</v>
      </c>
      <c r="AC356" s="2">
        <f t="shared" ca="1" si="173"/>
        <v>10</v>
      </c>
    </row>
    <row r="357" spans="1:29" x14ac:dyDescent="0.25">
      <c r="A357" s="14" t="str">
        <f t="shared" si="145"/>
        <v>VND-00357</v>
      </c>
      <c r="B357" s="5">
        <f t="shared" ca="1" si="146"/>
        <v>45186</v>
      </c>
      <c r="C357" s="2">
        <f t="shared" ca="1" si="147"/>
        <v>2023</v>
      </c>
      <c r="D357" s="2" t="str">
        <f t="shared" ca="1" si="148"/>
        <v>setembro</v>
      </c>
      <c r="E357" s="2" t="str">
        <f t="shared" ca="1" si="149"/>
        <v>2023/09</v>
      </c>
      <c r="F357" s="14" t="str">
        <f t="shared" ca="1" si="150"/>
        <v>CLI-9862</v>
      </c>
      <c r="G357" s="2" t="str">
        <f t="shared" ca="1" si="151"/>
        <v>Lucas</v>
      </c>
      <c r="H357" s="2" t="str">
        <f t="shared" ca="1" si="152"/>
        <v>Novo</v>
      </c>
      <c r="I357" s="2" t="str">
        <f t="shared" ca="1" si="153"/>
        <v>Patricia</v>
      </c>
      <c r="J357" s="14" t="str">
        <f t="shared" ca="1" si="154"/>
        <v>VCL-7581</v>
      </c>
      <c r="K357" s="2" t="str">
        <f t="shared" ca="1" si="155"/>
        <v>Compass</v>
      </c>
      <c r="L357" s="2" t="str">
        <f t="shared" ca="1" si="156"/>
        <v>Jeep</v>
      </c>
      <c r="M357" s="2" t="str">
        <f t="shared" ca="1" si="157"/>
        <v>SUV</v>
      </c>
      <c r="N357" s="2">
        <f t="shared" ca="1" si="158"/>
        <v>2021</v>
      </c>
      <c r="O357" s="2" t="str">
        <f t="shared" ca="1" si="159"/>
        <v>Online</v>
      </c>
      <c r="P357" s="2" t="str">
        <f t="shared" ca="1" si="160"/>
        <v>Nordeste</v>
      </c>
      <c r="Q357" s="2" t="str">
        <f t="shared" ca="1" si="161"/>
        <v>CE</v>
      </c>
      <c r="R357" s="2" t="str">
        <f t="shared" ca="1" si="162"/>
        <v>Caucaia</v>
      </c>
      <c r="S357" s="8">
        <f t="shared" ca="1" si="163"/>
        <v>4</v>
      </c>
      <c r="T357" s="10">
        <f t="shared" ca="1" si="164"/>
        <v>166136</v>
      </c>
      <c r="U357" s="10">
        <f t="shared" ca="1" si="165"/>
        <v>119617.92</v>
      </c>
      <c r="V357" s="10">
        <f t="shared" ca="1" si="166"/>
        <v>664544</v>
      </c>
      <c r="W357" s="10">
        <f t="shared" ca="1" si="167"/>
        <v>478471.67999999999</v>
      </c>
      <c r="X357" s="10">
        <f t="shared" ca="1" si="168"/>
        <v>186072.32000000001</v>
      </c>
      <c r="Y357" s="12">
        <f t="shared" ca="1" si="169"/>
        <v>0.28000000000000003</v>
      </c>
      <c r="Z357" s="2" t="str">
        <f t="shared" ca="1" si="170"/>
        <v>Cancelada</v>
      </c>
      <c r="AA357" s="8">
        <f t="shared" ca="1" si="171"/>
        <v>23</v>
      </c>
      <c r="AB357" s="2">
        <f t="shared" ca="1" si="172"/>
        <v>5</v>
      </c>
      <c r="AC357" s="2">
        <f t="shared" ca="1" si="173"/>
        <v>7</v>
      </c>
    </row>
    <row r="358" spans="1:29" x14ac:dyDescent="0.25">
      <c r="A358" s="14" t="str">
        <f t="shared" si="145"/>
        <v>VND-00358</v>
      </c>
      <c r="B358" s="5">
        <f t="shared" ca="1" si="146"/>
        <v>45832</v>
      </c>
      <c r="C358" s="2">
        <f t="shared" ca="1" si="147"/>
        <v>2025</v>
      </c>
      <c r="D358" s="2" t="str">
        <f t="shared" ca="1" si="148"/>
        <v>junho</v>
      </c>
      <c r="E358" s="2" t="str">
        <f t="shared" ca="1" si="149"/>
        <v>2025/06</v>
      </c>
      <c r="F358" s="14" t="str">
        <f t="shared" ca="1" si="150"/>
        <v>CLI-3926</v>
      </c>
      <c r="G358" s="2" t="str">
        <f t="shared" ca="1" si="151"/>
        <v>Juliana</v>
      </c>
      <c r="H358" s="2" t="str">
        <f t="shared" ca="1" si="152"/>
        <v>Recorrente</v>
      </c>
      <c r="I358" s="2" t="str">
        <f t="shared" ca="1" si="153"/>
        <v>Lucas</v>
      </c>
      <c r="J358" s="14" t="str">
        <f t="shared" ca="1" si="154"/>
        <v>VCL-2382</v>
      </c>
      <c r="K358" s="2" t="str">
        <f t="shared" ca="1" si="155"/>
        <v>Onix</v>
      </c>
      <c r="L358" s="2" t="str">
        <f t="shared" ca="1" si="156"/>
        <v>Chevrolet</v>
      </c>
      <c r="M358" s="2" t="str">
        <f t="shared" ca="1" si="157"/>
        <v>Popular</v>
      </c>
      <c r="N358" s="2">
        <f t="shared" ca="1" si="158"/>
        <v>2023</v>
      </c>
      <c r="O358" s="2" t="str">
        <f t="shared" ca="1" si="159"/>
        <v>Loja</v>
      </c>
      <c r="P358" s="2" t="str">
        <f t="shared" ca="1" si="160"/>
        <v>Sudeste</v>
      </c>
      <c r="Q358" s="2" t="str">
        <f t="shared" ca="1" si="161"/>
        <v>SP</v>
      </c>
      <c r="R358" s="2" t="str">
        <f t="shared" ca="1" si="162"/>
        <v>São Paulo</v>
      </c>
      <c r="S358" s="8">
        <f t="shared" ca="1" si="163"/>
        <v>9</v>
      </c>
      <c r="T358" s="10">
        <f t="shared" ca="1" si="164"/>
        <v>189632</v>
      </c>
      <c r="U358" s="10">
        <f t="shared" ca="1" si="165"/>
        <v>155498.23999999999</v>
      </c>
      <c r="V358" s="10">
        <f t="shared" ca="1" si="166"/>
        <v>1706688</v>
      </c>
      <c r="W358" s="10">
        <f t="shared" ca="1" si="167"/>
        <v>1399484.16</v>
      </c>
      <c r="X358" s="10">
        <f t="shared" ca="1" si="168"/>
        <v>307203.84000000008</v>
      </c>
      <c r="Y358" s="12">
        <f t="shared" ca="1" si="169"/>
        <v>0.18000000000000005</v>
      </c>
      <c r="Z358" s="2" t="str">
        <f t="shared" ca="1" si="170"/>
        <v>Concluída</v>
      </c>
      <c r="AA358" s="8">
        <f t="shared" ca="1" si="171"/>
        <v>10</v>
      </c>
      <c r="AB358" s="2">
        <f t="shared" ca="1" si="172"/>
        <v>26</v>
      </c>
      <c r="AC358" s="2">
        <f t="shared" ca="1" si="173"/>
        <v>10</v>
      </c>
    </row>
    <row r="359" spans="1:29" x14ac:dyDescent="0.25">
      <c r="A359" s="14" t="str">
        <f t="shared" si="145"/>
        <v>VND-00359</v>
      </c>
      <c r="B359" s="5">
        <f t="shared" ca="1" si="146"/>
        <v>45822</v>
      </c>
      <c r="C359" s="2">
        <f t="shared" ca="1" si="147"/>
        <v>2025</v>
      </c>
      <c r="D359" s="2" t="str">
        <f t="shared" ca="1" si="148"/>
        <v>junho</v>
      </c>
      <c r="E359" s="2" t="str">
        <f t="shared" ca="1" si="149"/>
        <v>2025/06</v>
      </c>
      <c r="F359" s="14" t="str">
        <f t="shared" ca="1" si="150"/>
        <v>CLI-7297</v>
      </c>
      <c r="G359" s="2" t="str">
        <f t="shared" ca="1" si="151"/>
        <v>Juliana</v>
      </c>
      <c r="H359" s="2" t="str">
        <f t="shared" ca="1" si="152"/>
        <v>Novo</v>
      </c>
      <c r="I359" s="2" t="str">
        <f t="shared" ca="1" si="153"/>
        <v>Juliana</v>
      </c>
      <c r="J359" s="14" t="str">
        <f t="shared" ca="1" si="154"/>
        <v>VCL-6228</v>
      </c>
      <c r="K359" s="2" t="str">
        <f t="shared" ca="1" si="155"/>
        <v>Civic</v>
      </c>
      <c r="L359" s="2" t="str">
        <f t="shared" ca="1" si="156"/>
        <v>Honda</v>
      </c>
      <c r="M359" s="2" t="str">
        <f t="shared" ca="1" si="157"/>
        <v>SUV</v>
      </c>
      <c r="N359" s="2">
        <f t="shared" ca="1" si="158"/>
        <v>2021</v>
      </c>
      <c r="O359" s="2" t="str">
        <f t="shared" ca="1" si="159"/>
        <v>Online</v>
      </c>
      <c r="P359" s="2" t="str">
        <f t="shared" ca="1" si="160"/>
        <v>Sul</v>
      </c>
      <c r="Q359" s="2" t="str">
        <f t="shared" ca="1" si="161"/>
        <v>RS</v>
      </c>
      <c r="R359" s="2" t="str">
        <f t="shared" ca="1" si="162"/>
        <v>Canoas</v>
      </c>
      <c r="S359" s="8">
        <f t="shared" ca="1" si="163"/>
        <v>5</v>
      </c>
      <c r="T359" s="10">
        <f t="shared" ca="1" si="164"/>
        <v>123317</v>
      </c>
      <c r="U359" s="10">
        <f t="shared" ca="1" si="165"/>
        <v>94954.09</v>
      </c>
      <c r="V359" s="10">
        <f t="shared" ca="1" si="166"/>
        <v>616585</v>
      </c>
      <c r="W359" s="10">
        <f t="shared" ca="1" si="167"/>
        <v>474770.44999999995</v>
      </c>
      <c r="X359" s="10">
        <f t="shared" ca="1" si="168"/>
        <v>141814.55000000005</v>
      </c>
      <c r="Y359" s="12">
        <f t="shared" ca="1" si="169"/>
        <v>0.23000000000000007</v>
      </c>
      <c r="Z359" s="2" t="str">
        <f t="shared" ca="1" si="170"/>
        <v>Concluída</v>
      </c>
      <c r="AA359" s="8">
        <f t="shared" ca="1" si="171"/>
        <v>29</v>
      </c>
      <c r="AB359" s="2">
        <f t="shared" ca="1" si="172"/>
        <v>13</v>
      </c>
      <c r="AC359" s="2">
        <f t="shared" ca="1" si="173"/>
        <v>7</v>
      </c>
    </row>
    <row r="360" spans="1:29" x14ac:dyDescent="0.25">
      <c r="A360" s="14" t="str">
        <f t="shared" si="145"/>
        <v>VND-00360</v>
      </c>
      <c r="B360" s="5">
        <f t="shared" ca="1" si="146"/>
        <v>45562</v>
      </c>
      <c r="C360" s="2">
        <f t="shared" ca="1" si="147"/>
        <v>2024</v>
      </c>
      <c r="D360" s="2" t="str">
        <f t="shared" ca="1" si="148"/>
        <v>setembro</v>
      </c>
      <c r="E360" s="2" t="str">
        <f t="shared" ca="1" si="149"/>
        <v>2024/09</v>
      </c>
      <c r="F360" s="14" t="str">
        <f t="shared" ca="1" si="150"/>
        <v>CLI-5277</v>
      </c>
      <c r="G360" s="2" t="str">
        <f t="shared" ca="1" si="151"/>
        <v>Maria</v>
      </c>
      <c r="H360" s="2" t="str">
        <f t="shared" ca="1" si="152"/>
        <v>Novo</v>
      </c>
      <c r="I360" s="2" t="str">
        <f t="shared" ca="1" si="153"/>
        <v>Ricardo</v>
      </c>
      <c r="J360" s="14" t="str">
        <f t="shared" ca="1" si="154"/>
        <v>VCL-6415</v>
      </c>
      <c r="K360" s="2" t="str">
        <f t="shared" ca="1" si="155"/>
        <v>Corolla</v>
      </c>
      <c r="L360" s="2" t="str">
        <f t="shared" ca="1" si="156"/>
        <v>Toyota</v>
      </c>
      <c r="M360" s="2" t="str">
        <f t="shared" ca="1" si="157"/>
        <v>SUV</v>
      </c>
      <c r="N360" s="2">
        <f t="shared" ca="1" si="158"/>
        <v>2018</v>
      </c>
      <c r="O360" s="2" t="str">
        <f t="shared" ca="1" si="159"/>
        <v>Online</v>
      </c>
      <c r="P360" s="2" t="str">
        <f t="shared" ca="1" si="160"/>
        <v>Norte</v>
      </c>
      <c r="Q360" s="2" t="str">
        <f t="shared" ca="1" si="161"/>
        <v>AM</v>
      </c>
      <c r="R360" s="2" t="str">
        <f t="shared" ca="1" si="162"/>
        <v>Parintins</v>
      </c>
      <c r="S360" s="8">
        <f t="shared" ca="1" si="163"/>
        <v>4</v>
      </c>
      <c r="T360" s="10">
        <f t="shared" ca="1" si="164"/>
        <v>202616</v>
      </c>
      <c r="U360" s="10">
        <f t="shared" ca="1" si="165"/>
        <v>145883.51999999999</v>
      </c>
      <c r="V360" s="10">
        <f t="shared" ca="1" si="166"/>
        <v>810464</v>
      </c>
      <c r="W360" s="10">
        <f t="shared" ca="1" si="167"/>
        <v>583534.07999999996</v>
      </c>
      <c r="X360" s="10">
        <f t="shared" ca="1" si="168"/>
        <v>226929.92000000004</v>
      </c>
      <c r="Y360" s="12">
        <f t="shared" ca="1" si="169"/>
        <v>0.28000000000000003</v>
      </c>
      <c r="Z360" s="2" t="str">
        <f t="shared" ca="1" si="170"/>
        <v>Cancelada</v>
      </c>
      <c r="AA360" s="8">
        <f t="shared" ca="1" si="171"/>
        <v>24</v>
      </c>
      <c r="AB360" s="2">
        <f t="shared" ca="1" si="172"/>
        <v>10</v>
      </c>
      <c r="AC360" s="2">
        <f t="shared" ca="1" si="173"/>
        <v>7</v>
      </c>
    </row>
    <row r="361" spans="1:29" x14ac:dyDescent="0.25">
      <c r="A361" s="14" t="str">
        <f t="shared" si="145"/>
        <v>VND-00361</v>
      </c>
      <c r="B361" s="5">
        <f t="shared" ca="1" si="146"/>
        <v>45591</v>
      </c>
      <c r="C361" s="2">
        <f t="shared" ca="1" si="147"/>
        <v>2024</v>
      </c>
      <c r="D361" s="2" t="str">
        <f t="shared" ca="1" si="148"/>
        <v>outubro</v>
      </c>
      <c r="E361" s="2" t="str">
        <f t="shared" ca="1" si="149"/>
        <v>2024/10</v>
      </c>
      <c r="F361" s="14" t="str">
        <f t="shared" ca="1" si="150"/>
        <v>CLI-3406</v>
      </c>
      <c r="G361" s="2" t="str">
        <f t="shared" ca="1" si="151"/>
        <v>Rafael</v>
      </c>
      <c r="H361" s="2" t="str">
        <f t="shared" ca="1" si="152"/>
        <v>Novo</v>
      </c>
      <c r="I361" s="2" t="str">
        <f t="shared" ca="1" si="153"/>
        <v>André</v>
      </c>
      <c r="J361" s="14" t="str">
        <f t="shared" ca="1" si="154"/>
        <v>VCL-9362</v>
      </c>
      <c r="K361" s="2" t="str">
        <f t="shared" ca="1" si="155"/>
        <v>Onix</v>
      </c>
      <c r="L361" s="2" t="str">
        <f t="shared" ca="1" si="156"/>
        <v>Chevrolet</v>
      </c>
      <c r="M361" s="2" t="str">
        <f t="shared" ca="1" si="157"/>
        <v>Popular</v>
      </c>
      <c r="N361" s="2">
        <f t="shared" ca="1" si="158"/>
        <v>2020</v>
      </c>
      <c r="O361" s="2" t="str">
        <f t="shared" ca="1" si="159"/>
        <v>Loja</v>
      </c>
      <c r="P361" s="2" t="str">
        <f t="shared" ca="1" si="160"/>
        <v>Nordeste</v>
      </c>
      <c r="Q361" s="2" t="str">
        <f t="shared" ca="1" si="161"/>
        <v>PE</v>
      </c>
      <c r="R361" s="2" t="str">
        <f t="shared" ca="1" si="162"/>
        <v>Recife</v>
      </c>
      <c r="S361" s="8">
        <f t="shared" ca="1" si="163"/>
        <v>3</v>
      </c>
      <c r="T361" s="10">
        <f t="shared" ca="1" si="164"/>
        <v>241073</v>
      </c>
      <c r="U361" s="10">
        <f t="shared" ca="1" si="165"/>
        <v>192858.40000000002</v>
      </c>
      <c r="V361" s="10">
        <f t="shared" ca="1" si="166"/>
        <v>723219</v>
      </c>
      <c r="W361" s="10">
        <f t="shared" ca="1" si="167"/>
        <v>578575.20000000007</v>
      </c>
      <c r="X361" s="10">
        <f t="shared" ca="1" si="168"/>
        <v>144643.79999999993</v>
      </c>
      <c r="Y361" s="12">
        <f t="shared" ca="1" si="169"/>
        <v>0.1999999999999999</v>
      </c>
      <c r="Z361" s="2" t="str">
        <f t="shared" ca="1" si="170"/>
        <v>Em negociação</v>
      </c>
      <c r="AA361" s="8">
        <f t="shared" ca="1" si="171"/>
        <v>7</v>
      </c>
      <c r="AB361" s="2">
        <f t="shared" ca="1" si="172"/>
        <v>24</v>
      </c>
      <c r="AC361" s="2">
        <f t="shared" ca="1" si="173"/>
        <v>10</v>
      </c>
    </row>
    <row r="362" spans="1:29" x14ac:dyDescent="0.25">
      <c r="A362" s="14" t="str">
        <f t="shared" si="145"/>
        <v>VND-00362</v>
      </c>
      <c r="B362" s="5">
        <f t="shared" ca="1" si="146"/>
        <v>45493</v>
      </c>
      <c r="C362" s="2">
        <f t="shared" ca="1" si="147"/>
        <v>2024</v>
      </c>
      <c r="D362" s="2" t="str">
        <f t="shared" ca="1" si="148"/>
        <v>julho</v>
      </c>
      <c r="E362" s="2" t="str">
        <f t="shared" ca="1" si="149"/>
        <v>2024/07</v>
      </c>
      <c r="F362" s="14" t="str">
        <f t="shared" ca="1" si="150"/>
        <v>CLI-8450</v>
      </c>
      <c r="G362" s="2" t="str">
        <f t="shared" ca="1" si="151"/>
        <v>João</v>
      </c>
      <c r="H362" s="2" t="str">
        <f t="shared" ca="1" si="152"/>
        <v>Recorrente</v>
      </c>
      <c r="I362" s="2" t="str">
        <f t="shared" ca="1" si="153"/>
        <v>André</v>
      </c>
      <c r="J362" s="14" t="str">
        <f t="shared" ca="1" si="154"/>
        <v>VCL-5768</v>
      </c>
      <c r="K362" s="2" t="str">
        <f t="shared" ca="1" si="155"/>
        <v>Civic</v>
      </c>
      <c r="L362" s="2" t="str">
        <f t="shared" ca="1" si="156"/>
        <v>Honda</v>
      </c>
      <c r="M362" s="2" t="str">
        <f t="shared" ca="1" si="157"/>
        <v>SUV</v>
      </c>
      <c r="N362" s="2">
        <f t="shared" ca="1" si="158"/>
        <v>2019</v>
      </c>
      <c r="O362" s="2" t="str">
        <f t="shared" ca="1" si="159"/>
        <v>Online</v>
      </c>
      <c r="P362" s="2" t="str">
        <f t="shared" ca="1" si="160"/>
        <v>Nordeste</v>
      </c>
      <c r="Q362" s="2" t="str">
        <f t="shared" ca="1" si="161"/>
        <v>CE</v>
      </c>
      <c r="R362" s="2" t="str">
        <f t="shared" ca="1" si="162"/>
        <v>Caucaia</v>
      </c>
      <c r="S362" s="8">
        <f t="shared" ca="1" si="163"/>
        <v>3</v>
      </c>
      <c r="T362" s="10">
        <f t="shared" ca="1" si="164"/>
        <v>107229</v>
      </c>
      <c r="U362" s="10">
        <f t="shared" ca="1" si="165"/>
        <v>81494.040000000008</v>
      </c>
      <c r="V362" s="10">
        <f t="shared" ca="1" si="166"/>
        <v>321687</v>
      </c>
      <c r="W362" s="10">
        <f t="shared" ca="1" si="167"/>
        <v>244482.12000000002</v>
      </c>
      <c r="X362" s="10">
        <f t="shared" ca="1" si="168"/>
        <v>77204.879999999976</v>
      </c>
      <c r="Y362" s="12">
        <f t="shared" ca="1" si="169"/>
        <v>0.23999999999999994</v>
      </c>
      <c r="Z362" s="2" t="str">
        <f t="shared" ca="1" si="170"/>
        <v>Cancelada</v>
      </c>
      <c r="AA362" s="8">
        <f t="shared" ca="1" si="171"/>
        <v>7</v>
      </c>
      <c r="AB362" s="2">
        <f t="shared" ca="1" si="172"/>
        <v>20</v>
      </c>
      <c r="AC362" s="2">
        <f t="shared" ca="1" si="173"/>
        <v>7</v>
      </c>
    </row>
    <row r="363" spans="1:29" x14ac:dyDescent="0.25">
      <c r="A363" s="14" t="str">
        <f t="shared" si="145"/>
        <v>VND-00363</v>
      </c>
      <c r="B363" s="5">
        <f t="shared" ca="1" si="146"/>
        <v>45767</v>
      </c>
      <c r="C363" s="2">
        <f t="shared" ca="1" si="147"/>
        <v>2025</v>
      </c>
      <c r="D363" s="2" t="str">
        <f t="shared" ca="1" si="148"/>
        <v>abril</v>
      </c>
      <c r="E363" s="2" t="str">
        <f t="shared" ca="1" si="149"/>
        <v>2025/04</v>
      </c>
      <c r="F363" s="14" t="str">
        <f t="shared" ca="1" si="150"/>
        <v>CLI-3515</v>
      </c>
      <c r="G363" s="2" t="str">
        <f t="shared" ca="1" si="151"/>
        <v>Ana</v>
      </c>
      <c r="H363" s="2" t="str">
        <f t="shared" ca="1" si="152"/>
        <v>Novo</v>
      </c>
      <c r="I363" s="2" t="str">
        <f t="shared" ca="1" si="153"/>
        <v>Juliana</v>
      </c>
      <c r="J363" s="14" t="str">
        <f t="shared" ca="1" si="154"/>
        <v>VCL-7598</v>
      </c>
      <c r="K363" s="2" t="str">
        <f t="shared" ca="1" si="155"/>
        <v>HB20</v>
      </c>
      <c r="L363" s="2" t="str">
        <f t="shared" ca="1" si="156"/>
        <v>Hyundai</v>
      </c>
      <c r="M363" s="2" t="str">
        <f t="shared" ca="1" si="157"/>
        <v>Popular</v>
      </c>
      <c r="N363" s="2">
        <f t="shared" ca="1" si="158"/>
        <v>2016</v>
      </c>
      <c r="O363" s="2" t="str">
        <f t="shared" ca="1" si="159"/>
        <v>Loja</v>
      </c>
      <c r="P363" s="2" t="str">
        <f t="shared" ca="1" si="160"/>
        <v>Sul</v>
      </c>
      <c r="Q363" s="2" t="str">
        <f t="shared" ca="1" si="161"/>
        <v>SC</v>
      </c>
      <c r="R363" s="2" t="str">
        <f t="shared" ca="1" si="162"/>
        <v>Florianópolis</v>
      </c>
      <c r="S363" s="8">
        <f t="shared" ca="1" si="163"/>
        <v>5</v>
      </c>
      <c r="T363" s="10">
        <f t="shared" ca="1" si="164"/>
        <v>227991</v>
      </c>
      <c r="U363" s="10">
        <f t="shared" ca="1" si="165"/>
        <v>177832.98</v>
      </c>
      <c r="V363" s="10">
        <f t="shared" ca="1" si="166"/>
        <v>1139955</v>
      </c>
      <c r="W363" s="10">
        <f t="shared" ca="1" si="167"/>
        <v>889164.9</v>
      </c>
      <c r="X363" s="10">
        <f t="shared" ca="1" si="168"/>
        <v>250790.09999999998</v>
      </c>
      <c r="Y363" s="12">
        <f t="shared" ca="1" si="169"/>
        <v>0.21999999999999997</v>
      </c>
      <c r="Z363" s="2" t="str">
        <f t="shared" ca="1" si="170"/>
        <v>Em negociação</v>
      </c>
      <c r="AA363" s="8">
        <f t="shared" ca="1" si="171"/>
        <v>10</v>
      </c>
      <c r="AB363" s="2">
        <f t="shared" ca="1" si="172"/>
        <v>28</v>
      </c>
      <c r="AC363" s="2">
        <f t="shared" ca="1" si="173"/>
        <v>10</v>
      </c>
    </row>
    <row r="364" spans="1:29" x14ac:dyDescent="0.25">
      <c r="A364" s="14" t="str">
        <f t="shared" si="145"/>
        <v>VND-00364</v>
      </c>
      <c r="B364" s="5">
        <f t="shared" ca="1" si="146"/>
        <v>45191</v>
      </c>
      <c r="C364" s="2">
        <f t="shared" ca="1" si="147"/>
        <v>2023</v>
      </c>
      <c r="D364" s="2" t="str">
        <f t="shared" ca="1" si="148"/>
        <v>setembro</v>
      </c>
      <c r="E364" s="2" t="str">
        <f t="shared" ca="1" si="149"/>
        <v>2023/09</v>
      </c>
      <c r="F364" s="14" t="str">
        <f t="shared" ca="1" si="150"/>
        <v>CLI-7202</v>
      </c>
      <c r="G364" s="2" t="str">
        <f t="shared" ca="1" si="151"/>
        <v>Fernanda</v>
      </c>
      <c r="H364" s="2" t="str">
        <f t="shared" ca="1" si="152"/>
        <v>Novo</v>
      </c>
      <c r="I364" s="2" t="str">
        <f t="shared" ca="1" si="153"/>
        <v>Marcos</v>
      </c>
      <c r="J364" s="14" t="str">
        <f t="shared" ca="1" si="154"/>
        <v>VCL-8967</v>
      </c>
      <c r="K364" s="2" t="str">
        <f t="shared" ca="1" si="155"/>
        <v>Onix</v>
      </c>
      <c r="L364" s="2" t="str">
        <f t="shared" ca="1" si="156"/>
        <v>Chevrolet</v>
      </c>
      <c r="M364" s="2" t="str">
        <f t="shared" ca="1" si="157"/>
        <v>Popular</v>
      </c>
      <c r="N364" s="2">
        <f t="shared" ca="1" si="158"/>
        <v>2016</v>
      </c>
      <c r="O364" s="2" t="str">
        <f t="shared" ca="1" si="159"/>
        <v>Online</v>
      </c>
      <c r="P364" s="2" t="str">
        <f t="shared" ca="1" si="160"/>
        <v>Sul</v>
      </c>
      <c r="Q364" s="2" t="str">
        <f t="shared" ca="1" si="161"/>
        <v>SC</v>
      </c>
      <c r="R364" s="2" t="str">
        <f t="shared" ca="1" si="162"/>
        <v>Joinville</v>
      </c>
      <c r="S364" s="8">
        <f t="shared" ca="1" si="163"/>
        <v>6</v>
      </c>
      <c r="T364" s="10">
        <f t="shared" ca="1" si="164"/>
        <v>174438</v>
      </c>
      <c r="U364" s="10">
        <f t="shared" ca="1" si="165"/>
        <v>143039.16</v>
      </c>
      <c r="V364" s="10">
        <f t="shared" ca="1" si="166"/>
        <v>1046628</v>
      </c>
      <c r="W364" s="10">
        <f t="shared" ca="1" si="167"/>
        <v>858234.96</v>
      </c>
      <c r="X364" s="10">
        <f t="shared" ca="1" si="168"/>
        <v>188393.04000000004</v>
      </c>
      <c r="Y364" s="12">
        <f t="shared" ca="1" si="169"/>
        <v>0.18000000000000005</v>
      </c>
      <c r="Z364" s="2" t="str">
        <f t="shared" ca="1" si="170"/>
        <v>Concluída</v>
      </c>
      <c r="AA364" s="8">
        <f t="shared" ca="1" si="171"/>
        <v>9</v>
      </c>
      <c r="AB364" s="2">
        <f t="shared" ca="1" si="172"/>
        <v>21</v>
      </c>
      <c r="AC364" s="2">
        <f t="shared" ca="1" si="173"/>
        <v>10</v>
      </c>
    </row>
    <row r="365" spans="1:29" x14ac:dyDescent="0.25">
      <c r="A365" s="14" t="str">
        <f t="shared" si="145"/>
        <v>VND-00365</v>
      </c>
      <c r="B365" s="5">
        <f t="shared" ca="1" si="146"/>
        <v>45454</v>
      </c>
      <c r="C365" s="2">
        <f t="shared" ca="1" si="147"/>
        <v>2024</v>
      </c>
      <c r="D365" s="2" t="str">
        <f t="shared" ca="1" si="148"/>
        <v>junho</v>
      </c>
      <c r="E365" s="2" t="str">
        <f t="shared" ca="1" si="149"/>
        <v>2024/06</v>
      </c>
      <c r="F365" s="14" t="str">
        <f t="shared" ca="1" si="150"/>
        <v>CLI-2763</v>
      </c>
      <c r="G365" s="2" t="str">
        <f t="shared" ca="1" si="151"/>
        <v>Maria</v>
      </c>
      <c r="H365" s="2" t="str">
        <f t="shared" ca="1" si="152"/>
        <v>Novo</v>
      </c>
      <c r="I365" s="2" t="str">
        <f t="shared" ca="1" si="153"/>
        <v>Juliana</v>
      </c>
      <c r="J365" s="14" t="str">
        <f t="shared" ca="1" si="154"/>
        <v>VCL-5972</v>
      </c>
      <c r="K365" s="2" t="str">
        <f t="shared" ca="1" si="155"/>
        <v>BMW X1</v>
      </c>
      <c r="L365" s="2" t="str">
        <f t="shared" ca="1" si="156"/>
        <v>BMW</v>
      </c>
      <c r="M365" s="2" t="str">
        <f t="shared" ca="1" si="157"/>
        <v>Luxo</v>
      </c>
      <c r="N365" s="2">
        <f t="shared" ca="1" si="158"/>
        <v>2023</v>
      </c>
      <c r="O365" s="2" t="str">
        <f t="shared" ca="1" si="159"/>
        <v>Online</v>
      </c>
      <c r="P365" s="2" t="str">
        <f t="shared" ca="1" si="160"/>
        <v>Sul</v>
      </c>
      <c r="Q365" s="2" t="str">
        <f t="shared" ca="1" si="161"/>
        <v>RS</v>
      </c>
      <c r="R365" s="2" t="str">
        <f t="shared" ca="1" si="162"/>
        <v>Pelotas</v>
      </c>
      <c r="S365" s="8">
        <f t="shared" ca="1" si="163"/>
        <v>3</v>
      </c>
      <c r="T365" s="10">
        <f t="shared" ca="1" si="164"/>
        <v>195200</v>
      </c>
      <c r="U365" s="10">
        <f t="shared" ca="1" si="165"/>
        <v>162016</v>
      </c>
      <c r="V365" s="10">
        <f t="shared" ca="1" si="166"/>
        <v>585600</v>
      </c>
      <c r="W365" s="10">
        <f t="shared" ca="1" si="167"/>
        <v>486048</v>
      </c>
      <c r="X365" s="10">
        <f t="shared" ca="1" si="168"/>
        <v>99552</v>
      </c>
      <c r="Y365" s="12">
        <f t="shared" ca="1" si="169"/>
        <v>0.17</v>
      </c>
      <c r="Z365" s="2" t="str">
        <f t="shared" ca="1" si="170"/>
        <v>Em negociação</v>
      </c>
      <c r="AA365" s="8">
        <f t="shared" ca="1" si="171"/>
        <v>2</v>
      </c>
      <c r="AB365" s="2">
        <f t="shared" ca="1" si="172"/>
        <v>4</v>
      </c>
      <c r="AC365" s="2">
        <f t="shared" ca="1" si="173"/>
        <v>3</v>
      </c>
    </row>
    <row r="366" spans="1:29" x14ac:dyDescent="0.25">
      <c r="A366" s="14" t="str">
        <f t="shared" si="145"/>
        <v>VND-00366</v>
      </c>
      <c r="B366" s="5">
        <f t="shared" ca="1" si="146"/>
        <v>45526</v>
      </c>
      <c r="C366" s="2">
        <f t="shared" ca="1" si="147"/>
        <v>2024</v>
      </c>
      <c r="D366" s="2" t="str">
        <f t="shared" ca="1" si="148"/>
        <v>agosto</v>
      </c>
      <c r="E366" s="2" t="str">
        <f t="shared" ca="1" si="149"/>
        <v>2024/08</v>
      </c>
      <c r="F366" s="14" t="str">
        <f t="shared" ca="1" si="150"/>
        <v>CLI-4433</v>
      </c>
      <c r="G366" s="2" t="str">
        <f t="shared" ca="1" si="151"/>
        <v>Lucas</v>
      </c>
      <c r="H366" s="2" t="str">
        <f t="shared" ca="1" si="152"/>
        <v>Recorrente</v>
      </c>
      <c r="I366" s="2" t="str">
        <f t="shared" ca="1" si="153"/>
        <v>Rafael</v>
      </c>
      <c r="J366" s="14" t="str">
        <f t="shared" ca="1" si="154"/>
        <v>VCL-5057</v>
      </c>
      <c r="K366" s="2" t="str">
        <f t="shared" ca="1" si="155"/>
        <v>BMW X1</v>
      </c>
      <c r="L366" s="2" t="str">
        <f t="shared" ca="1" si="156"/>
        <v>BMW</v>
      </c>
      <c r="M366" s="2" t="str">
        <f t="shared" ca="1" si="157"/>
        <v>Luxo</v>
      </c>
      <c r="N366" s="2">
        <f t="shared" ca="1" si="158"/>
        <v>2021</v>
      </c>
      <c r="O366" s="2" t="str">
        <f t="shared" ca="1" si="159"/>
        <v>Online</v>
      </c>
      <c r="P366" s="2" t="str">
        <f t="shared" ca="1" si="160"/>
        <v>Sul</v>
      </c>
      <c r="Q366" s="2" t="str">
        <f t="shared" ca="1" si="161"/>
        <v>RS</v>
      </c>
      <c r="R366" s="2" t="str">
        <f t="shared" ca="1" si="162"/>
        <v>Caxias do Sul</v>
      </c>
      <c r="S366" s="8">
        <f t="shared" ca="1" si="163"/>
        <v>3</v>
      </c>
      <c r="T366" s="10">
        <f t="shared" ca="1" si="164"/>
        <v>171274</v>
      </c>
      <c r="U366" s="10">
        <f t="shared" ca="1" si="165"/>
        <v>119891.79999999999</v>
      </c>
      <c r="V366" s="10">
        <f t="shared" ca="1" si="166"/>
        <v>513822</v>
      </c>
      <c r="W366" s="10">
        <f t="shared" ca="1" si="167"/>
        <v>359675.39999999997</v>
      </c>
      <c r="X366" s="10">
        <f t="shared" ca="1" si="168"/>
        <v>154146.60000000003</v>
      </c>
      <c r="Y366" s="12">
        <f t="shared" ca="1" si="169"/>
        <v>0.30000000000000004</v>
      </c>
      <c r="Z366" s="2" t="str">
        <f t="shared" ca="1" si="170"/>
        <v>Cancelada</v>
      </c>
      <c r="AA366" s="8">
        <f t="shared" ca="1" si="171"/>
        <v>18</v>
      </c>
      <c r="AB366" s="2">
        <f t="shared" ca="1" si="172"/>
        <v>10</v>
      </c>
      <c r="AC366" s="2">
        <f t="shared" ca="1" si="173"/>
        <v>3</v>
      </c>
    </row>
    <row r="367" spans="1:29" x14ac:dyDescent="0.25">
      <c r="A367" s="14" t="str">
        <f t="shared" si="145"/>
        <v>VND-00367</v>
      </c>
      <c r="B367" s="5">
        <f t="shared" ca="1" si="146"/>
        <v>45884</v>
      </c>
      <c r="C367" s="2">
        <f t="shared" ca="1" si="147"/>
        <v>2025</v>
      </c>
      <c r="D367" s="2" t="str">
        <f t="shared" ca="1" si="148"/>
        <v>agosto</v>
      </c>
      <c r="E367" s="2" t="str">
        <f t="shared" ca="1" si="149"/>
        <v>2025/08</v>
      </c>
      <c r="F367" s="14" t="str">
        <f t="shared" ca="1" si="150"/>
        <v>CLI-9677</v>
      </c>
      <c r="G367" s="2" t="str">
        <f t="shared" ca="1" si="151"/>
        <v>Fernanda</v>
      </c>
      <c r="H367" s="2" t="str">
        <f t="shared" ca="1" si="152"/>
        <v>Recorrente</v>
      </c>
      <c r="I367" s="2" t="str">
        <f t="shared" ca="1" si="153"/>
        <v>Marcos</v>
      </c>
      <c r="J367" s="14" t="str">
        <f t="shared" ca="1" si="154"/>
        <v>VCL-7956</v>
      </c>
      <c r="K367" s="2" t="str">
        <f t="shared" ca="1" si="155"/>
        <v>Corolla</v>
      </c>
      <c r="L367" s="2" t="str">
        <f t="shared" ca="1" si="156"/>
        <v>Toyota</v>
      </c>
      <c r="M367" s="2" t="str">
        <f t="shared" ca="1" si="157"/>
        <v>SUV</v>
      </c>
      <c r="N367" s="2">
        <f t="shared" ca="1" si="158"/>
        <v>2020</v>
      </c>
      <c r="O367" s="2" t="str">
        <f t="shared" ca="1" si="159"/>
        <v>Loja</v>
      </c>
      <c r="P367" s="2" t="str">
        <f t="shared" ca="1" si="160"/>
        <v>Sul</v>
      </c>
      <c r="Q367" s="2" t="str">
        <f t="shared" ca="1" si="161"/>
        <v>SC</v>
      </c>
      <c r="R367" s="2" t="str">
        <f t="shared" ca="1" si="162"/>
        <v>Itajaí</v>
      </c>
      <c r="S367" s="8">
        <f t="shared" ca="1" si="163"/>
        <v>10</v>
      </c>
      <c r="T367" s="10">
        <f t="shared" ca="1" si="164"/>
        <v>185724</v>
      </c>
      <c r="U367" s="10">
        <f t="shared" ca="1" si="165"/>
        <v>143007.48000000001</v>
      </c>
      <c r="V367" s="10">
        <f t="shared" ca="1" si="166"/>
        <v>1857240</v>
      </c>
      <c r="W367" s="10">
        <f t="shared" ca="1" si="167"/>
        <v>1430074.8</v>
      </c>
      <c r="X367" s="10">
        <f t="shared" ca="1" si="168"/>
        <v>427165.19999999995</v>
      </c>
      <c r="Y367" s="12">
        <f t="shared" ca="1" si="169"/>
        <v>0.22999999999999998</v>
      </c>
      <c r="Z367" s="2" t="str">
        <f t="shared" ca="1" si="170"/>
        <v>Cancelada</v>
      </c>
      <c r="AA367" s="8">
        <f t="shared" ca="1" si="171"/>
        <v>19</v>
      </c>
      <c r="AB367" s="2">
        <f t="shared" ca="1" si="172"/>
        <v>11</v>
      </c>
      <c r="AC367" s="2">
        <f t="shared" ca="1" si="173"/>
        <v>7</v>
      </c>
    </row>
    <row r="368" spans="1:29" x14ac:dyDescent="0.25">
      <c r="A368" s="14" t="str">
        <f t="shared" si="145"/>
        <v>VND-00368</v>
      </c>
      <c r="B368" s="5">
        <f t="shared" ca="1" si="146"/>
        <v>45636</v>
      </c>
      <c r="C368" s="2">
        <f t="shared" ca="1" si="147"/>
        <v>2024</v>
      </c>
      <c r="D368" s="2" t="str">
        <f t="shared" ca="1" si="148"/>
        <v>dezembro</v>
      </c>
      <c r="E368" s="2" t="str">
        <f t="shared" ca="1" si="149"/>
        <v>2024/12</v>
      </c>
      <c r="F368" s="14" t="str">
        <f t="shared" ca="1" si="150"/>
        <v>CLI-8458</v>
      </c>
      <c r="G368" s="2" t="str">
        <f t="shared" ca="1" si="151"/>
        <v>Maria</v>
      </c>
      <c r="H368" s="2" t="str">
        <f t="shared" ca="1" si="152"/>
        <v>Novo</v>
      </c>
      <c r="I368" s="2" t="str">
        <f t="shared" ca="1" si="153"/>
        <v>Carlos</v>
      </c>
      <c r="J368" s="14" t="str">
        <f t="shared" ca="1" si="154"/>
        <v>VCL-6457</v>
      </c>
      <c r="K368" s="2" t="str">
        <f t="shared" ca="1" si="155"/>
        <v>HB20</v>
      </c>
      <c r="L368" s="2" t="str">
        <f t="shared" ca="1" si="156"/>
        <v>Hyundai</v>
      </c>
      <c r="M368" s="2" t="str">
        <f t="shared" ca="1" si="157"/>
        <v>Popular</v>
      </c>
      <c r="N368" s="2">
        <f t="shared" ca="1" si="158"/>
        <v>2017</v>
      </c>
      <c r="O368" s="2" t="str">
        <f t="shared" ca="1" si="159"/>
        <v>Online</v>
      </c>
      <c r="P368" s="2" t="str">
        <f t="shared" ca="1" si="160"/>
        <v>Norte</v>
      </c>
      <c r="Q368" s="2" t="str">
        <f t="shared" ca="1" si="161"/>
        <v>PA</v>
      </c>
      <c r="R368" s="2" t="str">
        <f t="shared" ca="1" si="162"/>
        <v>Belém</v>
      </c>
      <c r="S368" s="8">
        <f t="shared" ca="1" si="163"/>
        <v>9</v>
      </c>
      <c r="T368" s="10">
        <f t="shared" ca="1" si="164"/>
        <v>204699</v>
      </c>
      <c r="U368" s="10">
        <f t="shared" ca="1" si="165"/>
        <v>167853.18</v>
      </c>
      <c r="V368" s="10">
        <f t="shared" ca="1" si="166"/>
        <v>1842291</v>
      </c>
      <c r="W368" s="10">
        <f t="shared" ca="1" si="167"/>
        <v>1510678.6199999999</v>
      </c>
      <c r="X368" s="10">
        <f t="shared" ca="1" si="168"/>
        <v>331612.38000000012</v>
      </c>
      <c r="Y368" s="12">
        <f t="shared" ca="1" si="169"/>
        <v>0.18000000000000008</v>
      </c>
      <c r="Z368" s="2" t="str">
        <f t="shared" ca="1" si="170"/>
        <v>Concluída</v>
      </c>
      <c r="AA368" s="8">
        <f t="shared" ca="1" si="171"/>
        <v>13</v>
      </c>
      <c r="AB368" s="2">
        <f t="shared" ca="1" si="172"/>
        <v>16</v>
      </c>
      <c r="AC368" s="2">
        <f t="shared" ca="1" si="173"/>
        <v>10</v>
      </c>
    </row>
    <row r="369" spans="1:29" x14ac:dyDescent="0.25">
      <c r="A369" s="14" t="str">
        <f t="shared" si="145"/>
        <v>VND-00369</v>
      </c>
      <c r="B369" s="5">
        <f t="shared" ca="1" si="146"/>
        <v>45985</v>
      </c>
      <c r="C369" s="2">
        <f t="shared" ca="1" si="147"/>
        <v>2025</v>
      </c>
      <c r="D369" s="2" t="str">
        <f t="shared" ca="1" si="148"/>
        <v>novembro</v>
      </c>
      <c r="E369" s="2" t="str">
        <f t="shared" ca="1" si="149"/>
        <v>2025/11</v>
      </c>
      <c r="F369" s="14" t="str">
        <f t="shared" ca="1" si="150"/>
        <v>CLI-2225</v>
      </c>
      <c r="G369" s="2" t="str">
        <f t="shared" ca="1" si="151"/>
        <v>Carlos</v>
      </c>
      <c r="H369" s="2" t="str">
        <f t="shared" ca="1" si="152"/>
        <v>Recorrente</v>
      </c>
      <c r="I369" s="2" t="str">
        <f t="shared" ca="1" si="153"/>
        <v>Camila</v>
      </c>
      <c r="J369" s="14" t="str">
        <f t="shared" ca="1" si="154"/>
        <v>VCL-9834</v>
      </c>
      <c r="K369" s="2" t="str">
        <f t="shared" ca="1" si="155"/>
        <v>BMW X1</v>
      </c>
      <c r="L369" s="2" t="str">
        <f t="shared" ca="1" si="156"/>
        <v>BMW</v>
      </c>
      <c r="M369" s="2" t="str">
        <f t="shared" ca="1" si="157"/>
        <v>Luxo</v>
      </c>
      <c r="N369" s="2">
        <f t="shared" ca="1" si="158"/>
        <v>2023</v>
      </c>
      <c r="O369" s="2" t="str">
        <f t="shared" ca="1" si="159"/>
        <v>Online</v>
      </c>
      <c r="P369" s="2" t="str">
        <f t="shared" ca="1" si="160"/>
        <v>Centro-Oeste</v>
      </c>
      <c r="Q369" s="2" t="str">
        <f t="shared" ca="1" si="161"/>
        <v>DF</v>
      </c>
      <c r="R369" s="2" t="str">
        <f t="shared" ca="1" si="162"/>
        <v>Taguatinga</v>
      </c>
      <c r="S369" s="8">
        <f t="shared" ca="1" si="163"/>
        <v>9</v>
      </c>
      <c r="T369" s="10">
        <f t="shared" ca="1" si="164"/>
        <v>74305</v>
      </c>
      <c r="U369" s="10">
        <f t="shared" ca="1" si="165"/>
        <v>57957.9</v>
      </c>
      <c r="V369" s="10">
        <f t="shared" ca="1" si="166"/>
        <v>668745</v>
      </c>
      <c r="W369" s="10">
        <f t="shared" ca="1" si="167"/>
        <v>521621.10000000003</v>
      </c>
      <c r="X369" s="10">
        <f t="shared" ca="1" si="168"/>
        <v>147123.89999999997</v>
      </c>
      <c r="Y369" s="12">
        <f t="shared" ca="1" si="169"/>
        <v>0.21999999999999995</v>
      </c>
      <c r="Z369" s="2" t="str">
        <f t="shared" ca="1" si="170"/>
        <v>Cancelada</v>
      </c>
      <c r="AA369" s="8">
        <f t="shared" ca="1" si="171"/>
        <v>12</v>
      </c>
      <c r="AB369" s="2">
        <f t="shared" ca="1" si="172"/>
        <v>0</v>
      </c>
      <c r="AC369" s="2">
        <f t="shared" ca="1" si="173"/>
        <v>3</v>
      </c>
    </row>
    <row r="370" spans="1:29" x14ac:dyDescent="0.25">
      <c r="A370" s="14" t="str">
        <f t="shared" si="145"/>
        <v>VND-00370</v>
      </c>
      <c r="B370" s="5">
        <f t="shared" ca="1" si="146"/>
        <v>45600</v>
      </c>
      <c r="C370" s="2">
        <f t="shared" ca="1" si="147"/>
        <v>2024</v>
      </c>
      <c r="D370" s="2" t="str">
        <f t="shared" ca="1" si="148"/>
        <v>novembro</v>
      </c>
      <c r="E370" s="2" t="str">
        <f t="shared" ca="1" si="149"/>
        <v>2024/11</v>
      </c>
      <c r="F370" s="14" t="str">
        <f t="shared" ca="1" si="150"/>
        <v>CLI-5188</v>
      </c>
      <c r="G370" s="2" t="str">
        <f t="shared" ca="1" si="151"/>
        <v>João</v>
      </c>
      <c r="H370" s="2" t="str">
        <f t="shared" ca="1" si="152"/>
        <v>Novo</v>
      </c>
      <c r="I370" s="2" t="str">
        <f t="shared" ca="1" si="153"/>
        <v>Pedro</v>
      </c>
      <c r="J370" s="14" t="str">
        <f t="shared" ca="1" si="154"/>
        <v>VCL-3876</v>
      </c>
      <c r="K370" s="2" t="str">
        <f t="shared" ca="1" si="155"/>
        <v>Corolla</v>
      </c>
      <c r="L370" s="2" t="str">
        <f t="shared" ca="1" si="156"/>
        <v>Toyota</v>
      </c>
      <c r="M370" s="2" t="str">
        <f t="shared" ca="1" si="157"/>
        <v>SUV</v>
      </c>
      <c r="N370" s="2">
        <f t="shared" ca="1" si="158"/>
        <v>2021</v>
      </c>
      <c r="O370" s="2" t="str">
        <f t="shared" ca="1" si="159"/>
        <v>Loja</v>
      </c>
      <c r="P370" s="2" t="str">
        <f t="shared" ca="1" si="160"/>
        <v>Sudeste</v>
      </c>
      <c r="Q370" s="2" t="str">
        <f t="shared" ca="1" si="161"/>
        <v>MG</v>
      </c>
      <c r="R370" s="2" t="str">
        <f t="shared" ca="1" si="162"/>
        <v>Betim</v>
      </c>
      <c r="S370" s="8">
        <f t="shared" ca="1" si="163"/>
        <v>1</v>
      </c>
      <c r="T370" s="10">
        <f t="shared" ca="1" si="164"/>
        <v>171053</v>
      </c>
      <c r="U370" s="10">
        <f t="shared" ca="1" si="165"/>
        <v>124868.69</v>
      </c>
      <c r="V370" s="10">
        <f t="shared" ca="1" si="166"/>
        <v>171053</v>
      </c>
      <c r="W370" s="10">
        <f t="shared" ca="1" si="167"/>
        <v>124868.69</v>
      </c>
      <c r="X370" s="10">
        <f t="shared" ca="1" si="168"/>
        <v>46184.31</v>
      </c>
      <c r="Y370" s="12">
        <f t="shared" ca="1" si="169"/>
        <v>0.26999999999999996</v>
      </c>
      <c r="Z370" s="2" t="str">
        <f t="shared" ca="1" si="170"/>
        <v>Cancelada</v>
      </c>
      <c r="AA370" s="8">
        <f t="shared" ca="1" si="171"/>
        <v>27</v>
      </c>
      <c r="AB370" s="2">
        <f t="shared" ca="1" si="172"/>
        <v>5</v>
      </c>
      <c r="AC370" s="2">
        <f t="shared" ca="1" si="173"/>
        <v>7</v>
      </c>
    </row>
    <row r="371" spans="1:29" x14ac:dyDescent="0.25">
      <c r="A371" s="14" t="str">
        <f t="shared" si="145"/>
        <v>VND-00371</v>
      </c>
      <c r="B371" s="5">
        <f t="shared" ca="1" si="146"/>
        <v>45498</v>
      </c>
      <c r="C371" s="2">
        <f t="shared" ca="1" si="147"/>
        <v>2024</v>
      </c>
      <c r="D371" s="2" t="str">
        <f t="shared" ca="1" si="148"/>
        <v>julho</v>
      </c>
      <c r="E371" s="2" t="str">
        <f t="shared" ca="1" si="149"/>
        <v>2024/07</v>
      </c>
      <c r="F371" s="14" t="str">
        <f t="shared" ca="1" si="150"/>
        <v>CLI-7669</v>
      </c>
      <c r="G371" s="2" t="str">
        <f t="shared" ca="1" si="151"/>
        <v>Ana</v>
      </c>
      <c r="H371" s="2" t="str">
        <f t="shared" ca="1" si="152"/>
        <v>Novo</v>
      </c>
      <c r="I371" s="2" t="str">
        <f t="shared" ca="1" si="153"/>
        <v>Rafael</v>
      </c>
      <c r="J371" s="14" t="str">
        <f t="shared" ca="1" si="154"/>
        <v>VCL-3602</v>
      </c>
      <c r="K371" s="2" t="str">
        <f t="shared" ca="1" si="155"/>
        <v>Civic</v>
      </c>
      <c r="L371" s="2" t="str">
        <f t="shared" ca="1" si="156"/>
        <v>Honda</v>
      </c>
      <c r="M371" s="2" t="str">
        <f t="shared" ca="1" si="157"/>
        <v>SUV</v>
      </c>
      <c r="N371" s="2">
        <f t="shared" ca="1" si="158"/>
        <v>2023</v>
      </c>
      <c r="O371" s="2" t="str">
        <f t="shared" ca="1" si="159"/>
        <v>Loja</v>
      </c>
      <c r="P371" s="2" t="str">
        <f t="shared" ca="1" si="160"/>
        <v>Sul</v>
      </c>
      <c r="Q371" s="2" t="str">
        <f t="shared" ca="1" si="161"/>
        <v>PR</v>
      </c>
      <c r="R371" s="2" t="str">
        <f t="shared" ca="1" si="162"/>
        <v>Cascavel</v>
      </c>
      <c r="S371" s="8">
        <f t="shared" ca="1" si="163"/>
        <v>1</v>
      </c>
      <c r="T371" s="10">
        <f t="shared" ca="1" si="164"/>
        <v>60074</v>
      </c>
      <c r="U371" s="10">
        <f t="shared" ca="1" si="165"/>
        <v>51062.9</v>
      </c>
      <c r="V371" s="10">
        <f t="shared" ca="1" si="166"/>
        <v>60074</v>
      </c>
      <c r="W371" s="10">
        <f t="shared" ca="1" si="167"/>
        <v>51062.9</v>
      </c>
      <c r="X371" s="10">
        <f t="shared" ca="1" si="168"/>
        <v>9011.0999999999985</v>
      </c>
      <c r="Y371" s="12">
        <f t="shared" ca="1" si="169"/>
        <v>0.14999999999999997</v>
      </c>
      <c r="Z371" s="2" t="str">
        <f t="shared" ca="1" si="170"/>
        <v>Concluída</v>
      </c>
      <c r="AA371" s="8">
        <f t="shared" ca="1" si="171"/>
        <v>9</v>
      </c>
      <c r="AB371" s="2">
        <f t="shared" ca="1" si="172"/>
        <v>12</v>
      </c>
      <c r="AC371" s="2">
        <f t="shared" ca="1" si="173"/>
        <v>7</v>
      </c>
    </row>
    <row r="372" spans="1:29" x14ac:dyDescent="0.25">
      <c r="A372" s="14" t="str">
        <f t="shared" si="145"/>
        <v>VND-00372</v>
      </c>
      <c r="B372" s="5">
        <f t="shared" ca="1" si="146"/>
        <v>45489</v>
      </c>
      <c r="C372" s="2">
        <f t="shared" ca="1" si="147"/>
        <v>2024</v>
      </c>
      <c r="D372" s="2" t="str">
        <f t="shared" ca="1" si="148"/>
        <v>julho</v>
      </c>
      <c r="E372" s="2" t="str">
        <f t="shared" ca="1" si="149"/>
        <v>2024/07</v>
      </c>
      <c r="F372" s="14" t="str">
        <f t="shared" ca="1" si="150"/>
        <v>CLI-8496</v>
      </c>
      <c r="G372" s="2" t="str">
        <f t="shared" ca="1" si="151"/>
        <v>Fernanda</v>
      </c>
      <c r="H372" s="2" t="str">
        <f t="shared" ca="1" si="152"/>
        <v>Recorrente</v>
      </c>
      <c r="I372" s="2" t="str">
        <f t="shared" ca="1" si="153"/>
        <v>Amanda</v>
      </c>
      <c r="J372" s="14" t="str">
        <f t="shared" ca="1" si="154"/>
        <v>VCL-6864</v>
      </c>
      <c r="K372" s="2" t="str">
        <f t="shared" ca="1" si="155"/>
        <v>Compass</v>
      </c>
      <c r="L372" s="2" t="str">
        <f t="shared" ca="1" si="156"/>
        <v>Jeep</v>
      </c>
      <c r="M372" s="2" t="str">
        <f t="shared" ca="1" si="157"/>
        <v>SUV</v>
      </c>
      <c r="N372" s="2">
        <f t="shared" ca="1" si="158"/>
        <v>2024</v>
      </c>
      <c r="O372" s="2" t="str">
        <f t="shared" ca="1" si="159"/>
        <v>Loja</v>
      </c>
      <c r="P372" s="2" t="str">
        <f t="shared" ca="1" si="160"/>
        <v>Norte</v>
      </c>
      <c r="Q372" s="2" t="str">
        <f t="shared" ca="1" si="161"/>
        <v>PA</v>
      </c>
      <c r="R372" s="2" t="str">
        <f t="shared" ca="1" si="162"/>
        <v>Belém</v>
      </c>
      <c r="S372" s="8">
        <f t="shared" ca="1" si="163"/>
        <v>4</v>
      </c>
      <c r="T372" s="10">
        <f t="shared" ca="1" si="164"/>
        <v>90065</v>
      </c>
      <c r="U372" s="10">
        <f t="shared" ca="1" si="165"/>
        <v>63946.149999999994</v>
      </c>
      <c r="V372" s="10">
        <f t="shared" ca="1" si="166"/>
        <v>360260</v>
      </c>
      <c r="W372" s="10">
        <f t="shared" ca="1" si="167"/>
        <v>255784.59999999998</v>
      </c>
      <c r="X372" s="10">
        <f t="shared" ca="1" si="168"/>
        <v>104475.40000000002</v>
      </c>
      <c r="Y372" s="12">
        <f t="shared" ca="1" si="169"/>
        <v>0.29000000000000009</v>
      </c>
      <c r="Z372" s="2" t="str">
        <f t="shared" ca="1" si="170"/>
        <v>Concluída</v>
      </c>
      <c r="AA372" s="8">
        <f t="shared" ca="1" si="171"/>
        <v>5</v>
      </c>
      <c r="AB372" s="2">
        <f t="shared" ca="1" si="172"/>
        <v>13</v>
      </c>
      <c r="AC372" s="2">
        <f t="shared" ca="1" si="173"/>
        <v>7</v>
      </c>
    </row>
    <row r="373" spans="1:29" x14ac:dyDescent="0.25">
      <c r="A373" s="14" t="str">
        <f t="shared" si="145"/>
        <v>VND-00373</v>
      </c>
      <c r="B373" s="5">
        <f t="shared" ca="1" si="146"/>
        <v>45196</v>
      </c>
      <c r="C373" s="2">
        <f t="shared" ca="1" si="147"/>
        <v>2023</v>
      </c>
      <c r="D373" s="2" t="str">
        <f t="shared" ca="1" si="148"/>
        <v>setembro</v>
      </c>
      <c r="E373" s="2" t="str">
        <f t="shared" ca="1" si="149"/>
        <v>2023/09</v>
      </c>
      <c r="F373" s="14" t="str">
        <f t="shared" ca="1" si="150"/>
        <v>CLI-2277</v>
      </c>
      <c r="G373" s="2" t="str">
        <f t="shared" ca="1" si="151"/>
        <v>Maria</v>
      </c>
      <c r="H373" s="2" t="str">
        <f t="shared" ca="1" si="152"/>
        <v>Novo</v>
      </c>
      <c r="I373" s="2" t="str">
        <f t="shared" ca="1" si="153"/>
        <v>Carlos</v>
      </c>
      <c r="J373" s="14" t="str">
        <f t="shared" ca="1" si="154"/>
        <v>VCL-1240</v>
      </c>
      <c r="K373" s="2" t="str">
        <f t="shared" ca="1" si="155"/>
        <v>Compass</v>
      </c>
      <c r="L373" s="2" t="str">
        <f t="shared" ca="1" si="156"/>
        <v>Jeep</v>
      </c>
      <c r="M373" s="2" t="str">
        <f t="shared" ca="1" si="157"/>
        <v>SUV</v>
      </c>
      <c r="N373" s="2">
        <f t="shared" ca="1" si="158"/>
        <v>2020</v>
      </c>
      <c r="O373" s="2" t="str">
        <f t="shared" ca="1" si="159"/>
        <v>Loja</v>
      </c>
      <c r="P373" s="2" t="str">
        <f t="shared" ca="1" si="160"/>
        <v>Norte</v>
      </c>
      <c r="Q373" s="2" t="str">
        <f t="shared" ca="1" si="161"/>
        <v>AM</v>
      </c>
      <c r="R373" s="2" t="str">
        <f t="shared" ca="1" si="162"/>
        <v>Itacoatiara</v>
      </c>
      <c r="S373" s="8">
        <f t="shared" ca="1" si="163"/>
        <v>9</v>
      </c>
      <c r="T373" s="10">
        <f t="shared" ca="1" si="164"/>
        <v>189923</v>
      </c>
      <c r="U373" s="10">
        <f t="shared" ca="1" si="165"/>
        <v>148139.94</v>
      </c>
      <c r="V373" s="10">
        <f t="shared" ca="1" si="166"/>
        <v>1709307</v>
      </c>
      <c r="W373" s="10">
        <f t="shared" ca="1" si="167"/>
        <v>1333259.46</v>
      </c>
      <c r="X373" s="10">
        <f t="shared" ca="1" si="168"/>
        <v>376047.54000000004</v>
      </c>
      <c r="Y373" s="12">
        <f t="shared" ca="1" si="169"/>
        <v>0.22000000000000003</v>
      </c>
      <c r="Z373" s="2" t="str">
        <f t="shared" ca="1" si="170"/>
        <v>Em negociação</v>
      </c>
      <c r="AA373" s="8">
        <f t="shared" ca="1" si="171"/>
        <v>14</v>
      </c>
      <c r="AB373" s="2">
        <f t="shared" ca="1" si="172"/>
        <v>10</v>
      </c>
      <c r="AC373" s="2">
        <f t="shared" ca="1" si="173"/>
        <v>7</v>
      </c>
    </row>
    <row r="374" spans="1:29" x14ac:dyDescent="0.25">
      <c r="A374" s="14" t="str">
        <f t="shared" si="145"/>
        <v>VND-00374</v>
      </c>
      <c r="B374" s="5">
        <f t="shared" ca="1" si="146"/>
        <v>45724</v>
      </c>
      <c r="C374" s="2">
        <f t="shared" ca="1" si="147"/>
        <v>2025</v>
      </c>
      <c r="D374" s="2" t="str">
        <f t="shared" ca="1" si="148"/>
        <v>março</v>
      </c>
      <c r="E374" s="2" t="str">
        <f t="shared" ca="1" si="149"/>
        <v>2025/03</v>
      </c>
      <c r="F374" s="14" t="str">
        <f t="shared" ca="1" si="150"/>
        <v>CLI-7363</v>
      </c>
      <c r="G374" s="2" t="str">
        <f t="shared" ca="1" si="151"/>
        <v>João</v>
      </c>
      <c r="H374" s="2" t="str">
        <f t="shared" ca="1" si="152"/>
        <v>Novo</v>
      </c>
      <c r="I374" s="2" t="str">
        <f t="shared" ca="1" si="153"/>
        <v>André</v>
      </c>
      <c r="J374" s="14" t="str">
        <f t="shared" ca="1" si="154"/>
        <v>VCL-9634</v>
      </c>
      <c r="K374" s="2" t="str">
        <f t="shared" ca="1" si="155"/>
        <v>HB20</v>
      </c>
      <c r="L374" s="2" t="str">
        <f t="shared" ca="1" si="156"/>
        <v>Hyundai</v>
      </c>
      <c r="M374" s="2" t="str">
        <f t="shared" ca="1" si="157"/>
        <v>Popular</v>
      </c>
      <c r="N374" s="2">
        <f t="shared" ca="1" si="158"/>
        <v>2022</v>
      </c>
      <c r="O374" s="2" t="str">
        <f t="shared" ca="1" si="159"/>
        <v>Loja</v>
      </c>
      <c r="P374" s="2" t="str">
        <f t="shared" ca="1" si="160"/>
        <v>Nordeste</v>
      </c>
      <c r="Q374" s="2" t="str">
        <f t="shared" ca="1" si="161"/>
        <v>PE</v>
      </c>
      <c r="R374" s="2" t="str">
        <f t="shared" ca="1" si="162"/>
        <v>Petrolina</v>
      </c>
      <c r="S374" s="8">
        <f t="shared" ca="1" si="163"/>
        <v>6</v>
      </c>
      <c r="T374" s="10">
        <f t="shared" ca="1" si="164"/>
        <v>79195</v>
      </c>
      <c r="U374" s="10">
        <f t="shared" ca="1" si="165"/>
        <v>62564.05</v>
      </c>
      <c r="V374" s="10">
        <f t="shared" ca="1" si="166"/>
        <v>475170</v>
      </c>
      <c r="W374" s="10">
        <f t="shared" ca="1" si="167"/>
        <v>375384.30000000005</v>
      </c>
      <c r="X374" s="10">
        <f t="shared" ca="1" si="168"/>
        <v>99785.699999999953</v>
      </c>
      <c r="Y374" s="12">
        <f t="shared" ca="1" si="169"/>
        <v>0.20999999999999991</v>
      </c>
      <c r="Z374" s="2" t="str">
        <f t="shared" ca="1" si="170"/>
        <v>Concluída</v>
      </c>
      <c r="AA374" s="8">
        <f t="shared" ca="1" si="171"/>
        <v>30</v>
      </c>
      <c r="AB374" s="2">
        <f t="shared" ca="1" si="172"/>
        <v>19</v>
      </c>
      <c r="AC374" s="2">
        <f t="shared" ca="1" si="173"/>
        <v>10</v>
      </c>
    </row>
    <row r="375" spans="1:29" x14ac:dyDescent="0.25">
      <c r="A375" s="14" t="str">
        <f t="shared" si="145"/>
        <v>VND-00375</v>
      </c>
      <c r="B375" s="5">
        <f t="shared" ca="1" si="146"/>
        <v>45366</v>
      </c>
      <c r="C375" s="2">
        <f t="shared" ca="1" si="147"/>
        <v>2024</v>
      </c>
      <c r="D375" s="2" t="str">
        <f t="shared" ca="1" si="148"/>
        <v>março</v>
      </c>
      <c r="E375" s="2" t="str">
        <f t="shared" ca="1" si="149"/>
        <v>2024/03</v>
      </c>
      <c r="F375" s="14" t="str">
        <f t="shared" ca="1" si="150"/>
        <v>CLI-1645</v>
      </c>
      <c r="G375" s="2" t="str">
        <f t="shared" ca="1" si="151"/>
        <v>Lucas</v>
      </c>
      <c r="H375" s="2" t="str">
        <f t="shared" ca="1" si="152"/>
        <v>Novo</v>
      </c>
      <c r="I375" s="2" t="str">
        <f t="shared" ca="1" si="153"/>
        <v>Fernanda</v>
      </c>
      <c r="J375" s="14" t="str">
        <f t="shared" ca="1" si="154"/>
        <v>VCL-9871</v>
      </c>
      <c r="K375" s="2" t="str">
        <f t="shared" ca="1" si="155"/>
        <v>HB20</v>
      </c>
      <c r="L375" s="2" t="str">
        <f t="shared" ca="1" si="156"/>
        <v>Hyundai</v>
      </c>
      <c r="M375" s="2" t="str">
        <f t="shared" ca="1" si="157"/>
        <v>Popular</v>
      </c>
      <c r="N375" s="2">
        <f t="shared" ca="1" si="158"/>
        <v>2024</v>
      </c>
      <c r="O375" s="2" t="str">
        <f t="shared" ca="1" si="159"/>
        <v>Online</v>
      </c>
      <c r="P375" s="2" t="str">
        <f t="shared" ca="1" si="160"/>
        <v>Nordeste</v>
      </c>
      <c r="Q375" s="2" t="str">
        <f t="shared" ca="1" si="161"/>
        <v>CE</v>
      </c>
      <c r="R375" s="2" t="str">
        <f t="shared" ca="1" si="162"/>
        <v>Sobral</v>
      </c>
      <c r="S375" s="8">
        <f t="shared" ca="1" si="163"/>
        <v>6</v>
      </c>
      <c r="T375" s="10">
        <f t="shared" ca="1" si="164"/>
        <v>65787</v>
      </c>
      <c r="U375" s="10">
        <f t="shared" ca="1" si="165"/>
        <v>53287.47</v>
      </c>
      <c r="V375" s="10">
        <f t="shared" ca="1" si="166"/>
        <v>394722</v>
      </c>
      <c r="W375" s="10">
        <f t="shared" ca="1" si="167"/>
        <v>319724.82</v>
      </c>
      <c r="X375" s="10">
        <f t="shared" ca="1" si="168"/>
        <v>74997.179999999993</v>
      </c>
      <c r="Y375" s="12">
        <f t="shared" ca="1" si="169"/>
        <v>0.18999999999999997</v>
      </c>
      <c r="Z375" s="2" t="str">
        <f t="shared" ca="1" si="170"/>
        <v>Concluída</v>
      </c>
      <c r="AA375" s="8">
        <f t="shared" ca="1" si="171"/>
        <v>9</v>
      </c>
      <c r="AB375" s="2">
        <f t="shared" ca="1" si="172"/>
        <v>23</v>
      </c>
      <c r="AC375" s="2">
        <f t="shared" ca="1" si="173"/>
        <v>10</v>
      </c>
    </row>
    <row r="376" spans="1:29" x14ac:dyDescent="0.25">
      <c r="A376" s="14" t="str">
        <f t="shared" si="145"/>
        <v>VND-00376</v>
      </c>
      <c r="B376" s="5">
        <f t="shared" ca="1" si="146"/>
        <v>44954</v>
      </c>
      <c r="C376" s="2">
        <f t="shared" ca="1" si="147"/>
        <v>2023</v>
      </c>
      <c r="D376" s="2" t="str">
        <f t="shared" ca="1" si="148"/>
        <v>janeiro</v>
      </c>
      <c r="E376" s="2" t="str">
        <f t="shared" ca="1" si="149"/>
        <v>2023/01</v>
      </c>
      <c r="F376" s="14" t="str">
        <f t="shared" ca="1" si="150"/>
        <v>CLI-4579</v>
      </c>
      <c r="G376" s="2" t="str">
        <f t="shared" ca="1" si="151"/>
        <v>Rafael</v>
      </c>
      <c r="H376" s="2" t="str">
        <f t="shared" ca="1" si="152"/>
        <v>Recorrente</v>
      </c>
      <c r="I376" s="2" t="str">
        <f t="shared" ca="1" si="153"/>
        <v>Camila</v>
      </c>
      <c r="J376" s="14" t="str">
        <f t="shared" ca="1" si="154"/>
        <v>VCL-6090</v>
      </c>
      <c r="K376" s="2" t="str">
        <f t="shared" ca="1" si="155"/>
        <v>Onix</v>
      </c>
      <c r="L376" s="2" t="str">
        <f t="shared" ca="1" si="156"/>
        <v>Chevrolet</v>
      </c>
      <c r="M376" s="2" t="str">
        <f t="shared" ca="1" si="157"/>
        <v>Popular</v>
      </c>
      <c r="N376" s="2">
        <f t="shared" ca="1" si="158"/>
        <v>2024</v>
      </c>
      <c r="O376" s="2" t="str">
        <f t="shared" ca="1" si="159"/>
        <v>Loja</v>
      </c>
      <c r="P376" s="2" t="str">
        <f t="shared" ca="1" si="160"/>
        <v>Centro-Oeste</v>
      </c>
      <c r="Q376" s="2" t="str">
        <f t="shared" ca="1" si="161"/>
        <v>DF</v>
      </c>
      <c r="R376" s="2" t="str">
        <f t="shared" ca="1" si="162"/>
        <v>Taguatinga</v>
      </c>
      <c r="S376" s="8">
        <f t="shared" ca="1" si="163"/>
        <v>2</v>
      </c>
      <c r="T376" s="10">
        <f t="shared" ca="1" si="164"/>
        <v>162209</v>
      </c>
      <c r="U376" s="10">
        <f t="shared" ca="1" si="165"/>
        <v>136255.56</v>
      </c>
      <c r="V376" s="10">
        <f t="shared" ca="1" si="166"/>
        <v>324418</v>
      </c>
      <c r="W376" s="10">
        <f t="shared" ca="1" si="167"/>
        <v>272511.12</v>
      </c>
      <c r="X376" s="10">
        <f t="shared" ca="1" si="168"/>
        <v>51906.880000000005</v>
      </c>
      <c r="Y376" s="12">
        <f t="shared" ca="1" si="169"/>
        <v>0.16</v>
      </c>
      <c r="Z376" s="2" t="str">
        <f t="shared" ca="1" si="170"/>
        <v>Cancelada</v>
      </c>
      <c r="AA376" s="8">
        <f t="shared" ca="1" si="171"/>
        <v>28</v>
      </c>
      <c r="AB376" s="2">
        <f t="shared" ca="1" si="172"/>
        <v>10</v>
      </c>
      <c r="AC376" s="2">
        <f t="shared" ca="1" si="173"/>
        <v>10</v>
      </c>
    </row>
    <row r="377" spans="1:29" x14ac:dyDescent="0.25">
      <c r="A377" s="14" t="str">
        <f t="shared" si="145"/>
        <v>VND-00377</v>
      </c>
      <c r="B377" s="5">
        <f t="shared" ca="1" si="146"/>
        <v>45962</v>
      </c>
      <c r="C377" s="2">
        <f t="shared" ca="1" si="147"/>
        <v>2025</v>
      </c>
      <c r="D377" s="2" t="str">
        <f t="shared" ca="1" si="148"/>
        <v>novembro</v>
      </c>
      <c r="E377" s="2" t="str">
        <f t="shared" ca="1" si="149"/>
        <v>2025/11</v>
      </c>
      <c r="F377" s="14" t="str">
        <f t="shared" ca="1" si="150"/>
        <v>CLI-8639</v>
      </c>
      <c r="G377" s="2" t="str">
        <f t="shared" ca="1" si="151"/>
        <v>Carlos</v>
      </c>
      <c r="H377" s="2" t="str">
        <f t="shared" ca="1" si="152"/>
        <v>Novo</v>
      </c>
      <c r="I377" s="2" t="str">
        <f t="shared" ca="1" si="153"/>
        <v>André</v>
      </c>
      <c r="J377" s="14" t="str">
        <f t="shared" ca="1" si="154"/>
        <v>VCL-1689</v>
      </c>
      <c r="K377" s="2" t="str">
        <f t="shared" ca="1" si="155"/>
        <v>Corolla</v>
      </c>
      <c r="L377" s="2" t="str">
        <f t="shared" ca="1" si="156"/>
        <v>Toyota</v>
      </c>
      <c r="M377" s="2" t="str">
        <f t="shared" ca="1" si="157"/>
        <v>SUV</v>
      </c>
      <c r="N377" s="2">
        <f t="shared" ca="1" si="158"/>
        <v>2022</v>
      </c>
      <c r="O377" s="2" t="str">
        <f t="shared" ca="1" si="159"/>
        <v>Loja</v>
      </c>
      <c r="P377" s="2" t="str">
        <f t="shared" ca="1" si="160"/>
        <v>Nordeste</v>
      </c>
      <c r="Q377" s="2" t="str">
        <f t="shared" ca="1" si="161"/>
        <v>CE</v>
      </c>
      <c r="R377" s="2" t="str">
        <f t="shared" ca="1" si="162"/>
        <v>Fortaleza</v>
      </c>
      <c r="S377" s="8">
        <f t="shared" ca="1" si="163"/>
        <v>2</v>
      </c>
      <c r="T377" s="10">
        <f t="shared" ca="1" si="164"/>
        <v>163284</v>
      </c>
      <c r="U377" s="10">
        <f t="shared" ca="1" si="165"/>
        <v>133892.88</v>
      </c>
      <c r="V377" s="10">
        <f t="shared" ca="1" si="166"/>
        <v>326568</v>
      </c>
      <c r="W377" s="10">
        <f t="shared" ca="1" si="167"/>
        <v>267785.76</v>
      </c>
      <c r="X377" s="10">
        <f t="shared" ca="1" si="168"/>
        <v>58782.239999999991</v>
      </c>
      <c r="Y377" s="12">
        <f t="shared" ca="1" si="169"/>
        <v>0.17999999999999997</v>
      </c>
      <c r="Z377" s="2" t="str">
        <f t="shared" ca="1" si="170"/>
        <v>Em negociação</v>
      </c>
      <c r="AA377" s="8">
        <f t="shared" ca="1" si="171"/>
        <v>15</v>
      </c>
      <c r="AB377" s="2">
        <f t="shared" ca="1" si="172"/>
        <v>13</v>
      </c>
      <c r="AC377" s="2">
        <f t="shared" ca="1" si="173"/>
        <v>7</v>
      </c>
    </row>
    <row r="378" spans="1:29" x14ac:dyDescent="0.25">
      <c r="A378" s="14" t="str">
        <f t="shared" si="145"/>
        <v>VND-00378</v>
      </c>
      <c r="B378" s="5">
        <f t="shared" ca="1" si="146"/>
        <v>45980</v>
      </c>
      <c r="C378" s="2">
        <f t="shared" ca="1" si="147"/>
        <v>2025</v>
      </c>
      <c r="D378" s="2" t="str">
        <f t="shared" ca="1" si="148"/>
        <v>novembro</v>
      </c>
      <c r="E378" s="2" t="str">
        <f t="shared" ca="1" si="149"/>
        <v>2025/11</v>
      </c>
      <c r="F378" s="14" t="str">
        <f t="shared" ca="1" si="150"/>
        <v>CLI-9857</v>
      </c>
      <c r="G378" s="2" t="str">
        <f t="shared" ca="1" si="151"/>
        <v>Juliana</v>
      </c>
      <c r="H378" s="2" t="str">
        <f t="shared" ca="1" si="152"/>
        <v>Recorrente</v>
      </c>
      <c r="I378" s="2" t="str">
        <f t="shared" ca="1" si="153"/>
        <v>João</v>
      </c>
      <c r="J378" s="14" t="str">
        <f t="shared" ca="1" si="154"/>
        <v>VCL-1316</v>
      </c>
      <c r="K378" s="2" t="str">
        <f t="shared" ca="1" si="155"/>
        <v>HB20</v>
      </c>
      <c r="L378" s="2" t="str">
        <f t="shared" ca="1" si="156"/>
        <v>Hyundai</v>
      </c>
      <c r="M378" s="2" t="str">
        <f t="shared" ca="1" si="157"/>
        <v>Popular</v>
      </c>
      <c r="N378" s="2">
        <f t="shared" ca="1" si="158"/>
        <v>2020</v>
      </c>
      <c r="O378" s="2" t="str">
        <f t="shared" ca="1" si="159"/>
        <v>Loja</v>
      </c>
      <c r="P378" s="2" t="str">
        <f t="shared" ca="1" si="160"/>
        <v>Sudeste</v>
      </c>
      <c r="Q378" s="2" t="str">
        <f t="shared" ca="1" si="161"/>
        <v>MG</v>
      </c>
      <c r="R378" s="2" t="str">
        <f t="shared" ca="1" si="162"/>
        <v>Betim</v>
      </c>
      <c r="S378" s="8">
        <f t="shared" ca="1" si="163"/>
        <v>5</v>
      </c>
      <c r="T378" s="10">
        <f t="shared" ca="1" si="164"/>
        <v>149846</v>
      </c>
      <c r="U378" s="10">
        <f t="shared" ca="1" si="165"/>
        <v>110886.04</v>
      </c>
      <c r="V378" s="10">
        <f t="shared" ca="1" si="166"/>
        <v>749230</v>
      </c>
      <c r="W378" s="10">
        <f t="shared" ca="1" si="167"/>
        <v>554430.19999999995</v>
      </c>
      <c r="X378" s="10">
        <f t="shared" ca="1" si="168"/>
        <v>194799.80000000005</v>
      </c>
      <c r="Y378" s="12">
        <f t="shared" ca="1" si="169"/>
        <v>0.26000000000000006</v>
      </c>
      <c r="Z378" s="2" t="str">
        <f t="shared" ca="1" si="170"/>
        <v>Concluída</v>
      </c>
      <c r="AA378" s="8">
        <f t="shared" ca="1" si="171"/>
        <v>29</v>
      </c>
      <c r="AB378" s="2">
        <f t="shared" ca="1" si="172"/>
        <v>15</v>
      </c>
      <c r="AC378" s="2">
        <f t="shared" ca="1" si="173"/>
        <v>10</v>
      </c>
    </row>
    <row r="379" spans="1:29" x14ac:dyDescent="0.25">
      <c r="A379" s="14" t="str">
        <f t="shared" si="145"/>
        <v>VND-00379</v>
      </c>
      <c r="B379" s="5">
        <f t="shared" ca="1" si="146"/>
        <v>45910</v>
      </c>
      <c r="C379" s="2">
        <f t="shared" ca="1" si="147"/>
        <v>2025</v>
      </c>
      <c r="D379" s="2" t="str">
        <f t="shared" ca="1" si="148"/>
        <v>setembro</v>
      </c>
      <c r="E379" s="2" t="str">
        <f t="shared" ca="1" si="149"/>
        <v>2025/09</v>
      </c>
      <c r="F379" s="14" t="str">
        <f t="shared" ca="1" si="150"/>
        <v>CLI-1864</v>
      </c>
      <c r="G379" s="2" t="str">
        <f t="shared" ca="1" si="151"/>
        <v>João</v>
      </c>
      <c r="H379" s="2" t="str">
        <f t="shared" ca="1" si="152"/>
        <v>Recorrente</v>
      </c>
      <c r="I379" s="2" t="str">
        <f t="shared" ca="1" si="153"/>
        <v>Amanda</v>
      </c>
      <c r="J379" s="14" t="str">
        <f t="shared" ca="1" si="154"/>
        <v>VCL-1354</v>
      </c>
      <c r="K379" s="2" t="str">
        <f t="shared" ca="1" si="155"/>
        <v>Civic</v>
      </c>
      <c r="L379" s="2" t="str">
        <f t="shared" ca="1" si="156"/>
        <v>Honda</v>
      </c>
      <c r="M379" s="2" t="str">
        <f t="shared" ca="1" si="157"/>
        <v>SUV</v>
      </c>
      <c r="N379" s="2">
        <f t="shared" ca="1" si="158"/>
        <v>2021</v>
      </c>
      <c r="O379" s="2" t="str">
        <f t="shared" ca="1" si="159"/>
        <v>Online</v>
      </c>
      <c r="P379" s="2" t="str">
        <f t="shared" ca="1" si="160"/>
        <v>Norte</v>
      </c>
      <c r="Q379" s="2" t="str">
        <f t="shared" ca="1" si="161"/>
        <v>AM</v>
      </c>
      <c r="R379" s="2" t="str">
        <f t="shared" ca="1" si="162"/>
        <v>Coari</v>
      </c>
      <c r="S379" s="8">
        <f t="shared" ca="1" si="163"/>
        <v>9</v>
      </c>
      <c r="T379" s="10">
        <f t="shared" ca="1" si="164"/>
        <v>222067</v>
      </c>
      <c r="U379" s="10">
        <f t="shared" ca="1" si="165"/>
        <v>164329.57999999999</v>
      </c>
      <c r="V379" s="10">
        <f t="shared" ca="1" si="166"/>
        <v>1998603</v>
      </c>
      <c r="W379" s="10">
        <f t="shared" ca="1" si="167"/>
        <v>1478966.22</v>
      </c>
      <c r="X379" s="10">
        <f t="shared" ca="1" si="168"/>
        <v>519636.78</v>
      </c>
      <c r="Y379" s="12">
        <f t="shared" ca="1" si="169"/>
        <v>0.26</v>
      </c>
      <c r="Z379" s="2" t="str">
        <f t="shared" ca="1" si="170"/>
        <v>Cancelada</v>
      </c>
      <c r="AA379" s="8">
        <f t="shared" ca="1" si="171"/>
        <v>10</v>
      </c>
      <c r="AB379" s="2">
        <f t="shared" ca="1" si="172"/>
        <v>10</v>
      </c>
      <c r="AC379" s="2">
        <f t="shared" ca="1" si="173"/>
        <v>7</v>
      </c>
    </row>
    <row r="380" spans="1:29" x14ac:dyDescent="0.25">
      <c r="A380" s="14" t="str">
        <f t="shared" si="145"/>
        <v>VND-00380</v>
      </c>
      <c r="B380" s="5">
        <f t="shared" ca="1" si="146"/>
        <v>45481</v>
      </c>
      <c r="C380" s="2">
        <f t="shared" ca="1" si="147"/>
        <v>2024</v>
      </c>
      <c r="D380" s="2" t="str">
        <f t="shared" ca="1" si="148"/>
        <v>julho</v>
      </c>
      <c r="E380" s="2" t="str">
        <f t="shared" ca="1" si="149"/>
        <v>2024/07</v>
      </c>
      <c r="F380" s="14" t="str">
        <f t="shared" ca="1" si="150"/>
        <v>CLI-5346</v>
      </c>
      <c r="G380" s="2" t="str">
        <f t="shared" ca="1" si="151"/>
        <v>Carlos</v>
      </c>
      <c r="H380" s="2" t="str">
        <f t="shared" ca="1" si="152"/>
        <v>Novo</v>
      </c>
      <c r="I380" s="2" t="str">
        <f t="shared" ca="1" si="153"/>
        <v>Ana</v>
      </c>
      <c r="J380" s="14" t="str">
        <f t="shared" ca="1" si="154"/>
        <v>VCL-9537</v>
      </c>
      <c r="K380" s="2" t="str">
        <f t="shared" ca="1" si="155"/>
        <v>HB20</v>
      </c>
      <c r="L380" s="2" t="str">
        <f t="shared" ca="1" si="156"/>
        <v>Hyundai</v>
      </c>
      <c r="M380" s="2" t="str">
        <f t="shared" ca="1" si="157"/>
        <v>Popular</v>
      </c>
      <c r="N380" s="2">
        <f t="shared" ca="1" si="158"/>
        <v>2015</v>
      </c>
      <c r="O380" s="2" t="str">
        <f t="shared" ca="1" si="159"/>
        <v>Loja</v>
      </c>
      <c r="P380" s="2" t="str">
        <f t="shared" ca="1" si="160"/>
        <v>Sudeste</v>
      </c>
      <c r="Q380" s="2" t="str">
        <f t="shared" ca="1" si="161"/>
        <v>ES</v>
      </c>
      <c r="R380" s="2" t="str">
        <f t="shared" ca="1" si="162"/>
        <v>Linhares</v>
      </c>
      <c r="S380" s="8">
        <f t="shared" ca="1" si="163"/>
        <v>4</v>
      </c>
      <c r="T380" s="10">
        <f t="shared" ca="1" si="164"/>
        <v>77011</v>
      </c>
      <c r="U380" s="10">
        <f t="shared" ca="1" si="165"/>
        <v>62378.91</v>
      </c>
      <c r="V380" s="10">
        <f t="shared" ca="1" si="166"/>
        <v>308044</v>
      </c>
      <c r="W380" s="10">
        <f t="shared" ca="1" si="167"/>
        <v>249515.64</v>
      </c>
      <c r="X380" s="10">
        <f t="shared" ca="1" si="168"/>
        <v>58528.359999999986</v>
      </c>
      <c r="Y380" s="12">
        <f t="shared" ca="1" si="169"/>
        <v>0.18999999999999995</v>
      </c>
      <c r="Z380" s="2" t="str">
        <f t="shared" ca="1" si="170"/>
        <v>Concluída</v>
      </c>
      <c r="AA380" s="8">
        <f t="shared" ca="1" si="171"/>
        <v>28</v>
      </c>
      <c r="AB380" s="2">
        <f t="shared" ca="1" si="172"/>
        <v>17</v>
      </c>
      <c r="AC380" s="2">
        <f t="shared" ca="1" si="173"/>
        <v>10</v>
      </c>
    </row>
    <row r="381" spans="1:29" x14ac:dyDescent="0.25">
      <c r="A381" s="14" t="str">
        <f t="shared" si="145"/>
        <v>VND-00381</v>
      </c>
      <c r="B381" s="5">
        <f t="shared" ca="1" si="146"/>
        <v>45962</v>
      </c>
      <c r="C381" s="2">
        <f t="shared" ca="1" si="147"/>
        <v>2025</v>
      </c>
      <c r="D381" s="2" t="str">
        <f t="shared" ca="1" si="148"/>
        <v>novembro</v>
      </c>
      <c r="E381" s="2" t="str">
        <f t="shared" ca="1" si="149"/>
        <v>2025/11</v>
      </c>
      <c r="F381" s="14" t="str">
        <f t="shared" ca="1" si="150"/>
        <v>CLI-2157</v>
      </c>
      <c r="G381" s="2" t="str">
        <f t="shared" ca="1" si="151"/>
        <v>João</v>
      </c>
      <c r="H381" s="2" t="str">
        <f t="shared" ca="1" si="152"/>
        <v>Novo</v>
      </c>
      <c r="I381" s="2" t="str">
        <f t="shared" ca="1" si="153"/>
        <v>Tatiane</v>
      </c>
      <c r="J381" s="14" t="str">
        <f t="shared" ca="1" si="154"/>
        <v>VCL-2293</v>
      </c>
      <c r="K381" s="2" t="str">
        <f t="shared" ca="1" si="155"/>
        <v>HB20</v>
      </c>
      <c r="L381" s="2" t="str">
        <f t="shared" ca="1" si="156"/>
        <v>Hyundai</v>
      </c>
      <c r="M381" s="2" t="str">
        <f t="shared" ca="1" si="157"/>
        <v>Popular</v>
      </c>
      <c r="N381" s="2">
        <f t="shared" ca="1" si="158"/>
        <v>2020</v>
      </c>
      <c r="O381" s="2" t="str">
        <f t="shared" ca="1" si="159"/>
        <v>Online</v>
      </c>
      <c r="P381" s="2" t="str">
        <f t="shared" ca="1" si="160"/>
        <v>Norte</v>
      </c>
      <c r="Q381" s="2" t="str">
        <f t="shared" ca="1" si="161"/>
        <v>PA</v>
      </c>
      <c r="R381" s="2" t="str">
        <f t="shared" ca="1" si="162"/>
        <v>Belém</v>
      </c>
      <c r="S381" s="8">
        <f t="shared" ca="1" si="163"/>
        <v>10</v>
      </c>
      <c r="T381" s="10">
        <f t="shared" ca="1" si="164"/>
        <v>179376</v>
      </c>
      <c r="U381" s="10">
        <f t="shared" ca="1" si="165"/>
        <v>143500.80000000002</v>
      </c>
      <c r="V381" s="10">
        <f t="shared" ca="1" si="166"/>
        <v>1793760</v>
      </c>
      <c r="W381" s="10">
        <f t="shared" ca="1" si="167"/>
        <v>1435008.0000000002</v>
      </c>
      <c r="X381" s="10">
        <f t="shared" ca="1" si="168"/>
        <v>358751.99999999977</v>
      </c>
      <c r="Y381" s="12">
        <f t="shared" ca="1" si="169"/>
        <v>0.19999999999999987</v>
      </c>
      <c r="Z381" s="2" t="str">
        <f t="shared" ca="1" si="170"/>
        <v>Em negociação</v>
      </c>
      <c r="AA381" s="8">
        <f t="shared" ca="1" si="171"/>
        <v>1</v>
      </c>
      <c r="AB381" s="2">
        <f t="shared" ca="1" si="172"/>
        <v>28</v>
      </c>
      <c r="AC381" s="2">
        <f t="shared" ca="1" si="173"/>
        <v>10</v>
      </c>
    </row>
    <row r="382" spans="1:29" x14ac:dyDescent="0.25">
      <c r="A382" s="14" t="str">
        <f t="shared" si="145"/>
        <v>VND-00382</v>
      </c>
      <c r="B382" s="5">
        <f t="shared" ca="1" si="146"/>
        <v>45903</v>
      </c>
      <c r="C382" s="2">
        <f t="shared" ca="1" si="147"/>
        <v>2025</v>
      </c>
      <c r="D382" s="2" t="str">
        <f t="shared" ca="1" si="148"/>
        <v>setembro</v>
      </c>
      <c r="E382" s="2" t="str">
        <f t="shared" ca="1" si="149"/>
        <v>2025/09</v>
      </c>
      <c r="F382" s="14" t="str">
        <f t="shared" ca="1" si="150"/>
        <v>CLI-4569</v>
      </c>
      <c r="G382" s="2" t="str">
        <f t="shared" ca="1" si="151"/>
        <v>Fernanda</v>
      </c>
      <c r="H382" s="2" t="str">
        <f t="shared" ca="1" si="152"/>
        <v>Novo</v>
      </c>
      <c r="I382" s="2" t="str">
        <f t="shared" ca="1" si="153"/>
        <v>Diego</v>
      </c>
      <c r="J382" s="14" t="str">
        <f t="shared" ca="1" si="154"/>
        <v>VCL-2320</v>
      </c>
      <c r="K382" s="2" t="str">
        <f t="shared" ca="1" si="155"/>
        <v>Compass</v>
      </c>
      <c r="L382" s="2" t="str">
        <f t="shared" ca="1" si="156"/>
        <v>Jeep</v>
      </c>
      <c r="M382" s="2" t="str">
        <f t="shared" ca="1" si="157"/>
        <v>SUV</v>
      </c>
      <c r="N382" s="2">
        <f t="shared" ca="1" si="158"/>
        <v>2022</v>
      </c>
      <c r="O382" s="2" t="str">
        <f t="shared" ca="1" si="159"/>
        <v>Loja</v>
      </c>
      <c r="P382" s="2" t="str">
        <f t="shared" ca="1" si="160"/>
        <v>Nordeste</v>
      </c>
      <c r="Q382" s="2" t="str">
        <f t="shared" ca="1" si="161"/>
        <v>PE</v>
      </c>
      <c r="R382" s="2" t="str">
        <f t="shared" ca="1" si="162"/>
        <v>Recife</v>
      </c>
      <c r="S382" s="8">
        <f t="shared" ca="1" si="163"/>
        <v>6</v>
      </c>
      <c r="T382" s="10">
        <f t="shared" ca="1" si="164"/>
        <v>160872</v>
      </c>
      <c r="U382" s="10">
        <f t="shared" ca="1" si="165"/>
        <v>112610.4</v>
      </c>
      <c r="V382" s="10">
        <f t="shared" ca="1" si="166"/>
        <v>965232</v>
      </c>
      <c r="W382" s="10">
        <f t="shared" ca="1" si="167"/>
        <v>675662.39999999991</v>
      </c>
      <c r="X382" s="10">
        <f t="shared" ca="1" si="168"/>
        <v>289569.60000000009</v>
      </c>
      <c r="Y382" s="12">
        <f t="shared" ca="1" si="169"/>
        <v>0.3000000000000001</v>
      </c>
      <c r="Z382" s="2" t="str">
        <f t="shared" ca="1" si="170"/>
        <v>Concluída</v>
      </c>
      <c r="AA382" s="8">
        <f t="shared" ca="1" si="171"/>
        <v>25</v>
      </c>
      <c r="AB382" s="2">
        <f t="shared" ca="1" si="172"/>
        <v>17</v>
      </c>
      <c r="AC382" s="2">
        <f t="shared" ca="1" si="173"/>
        <v>7</v>
      </c>
    </row>
    <row r="383" spans="1:29" x14ac:dyDescent="0.25">
      <c r="A383" s="14" t="str">
        <f t="shared" si="145"/>
        <v>VND-00383</v>
      </c>
      <c r="B383" s="5">
        <f t="shared" ca="1" si="146"/>
        <v>45790</v>
      </c>
      <c r="C383" s="2">
        <f t="shared" ca="1" si="147"/>
        <v>2025</v>
      </c>
      <c r="D383" s="2" t="str">
        <f t="shared" ca="1" si="148"/>
        <v>maio</v>
      </c>
      <c r="E383" s="2" t="str">
        <f t="shared" ca="1" si="149"/>
        <v>2025/05</v>
      </c>
      <c r="F383" s="14" t="str">
        <f t="shared" ca="1" si="150"/>
        <v>CLI-6352</v>
      </c>
      <c r="G383" s="2" t="str">
        <f t="shared" ca="1" si="151"/>
        <v>Rafael</v>
      </c>
      <c r="H383" s="2" t="str">
        <f t="shared" ca="1" si="152"/>
        <v>Novo</v>
      </c>
      <c r="I383" s="2" t="str">
        <f t="shared" ca="1" si="153"/>
        <v>Bruno</v>
      </c>
      <c r="J383" s="14" t="str">
        <f t="shared" ca="1" si="154"/>
        <v>VCL-4817</v>
      </c>
      <c r="K383" s="2" t="str">
        <f t="shared" ca="1" si="155"/>
        <v>Civic</v>
      </c>
      <c r="L383" s="2" t="str">
        <f t="shared" ca="1" si="156"/>
        <v>Honda</v>
      </c>
      <c r="M383" s="2" t="str">
        <f t="shared" ca="1" si="157"/>
        <v>SUV</v>
      </c>
      <c r="N383" s="2">
        <f t="shared" ca="1" si="158"/>
        <v>2015</v>
      </c>
      <c r="O383" s="2" t="str">
        <f t="shared" ca="1" si="159"/>
        <v>Loja</v>
      </c>
      <c r="P383" s="2" t="str">
        <f t="shared" ca="1" si="160"/>
        <v>Sul</v>
      </c>
      <c r="Q383" s="2" t="str">
        <f t="shared" ca="1" si="161"/>
        <v>SC</v>
      </c>
      <c r="R383" s="2" t="str">
        <f t="shared" ca="1" si="162"/>
        <v>Florianópolis</v>
      </c>
      <c r="S383" s="8">
        <f t="shared" ca="1" si="163"/>
        <v>2</v>
      </c>
      <c r="T383" s="10">
        <f t="shared" ca="1" si="164"/>
        <v>129079</v>
      </c>
      <c r="U383" s="10">
        <f t="shared" ca="1" si="165"/>
        <v>90355.299999999988</v>
      </c>
      <c r="V383" s="10">
        <f t="shared" ca="1" si="166"/>
        <v>258158</v>
      </c>
      <c r="W383" s="10">
        <f t="shared" ca="1" si="167"/>
        <v>180710.59999999998</v>
      </c>
      <c r="X383" s="10">
        <f t="shared" ca="1" si="168"/>
        <v>77447.400000000023</v>
      </c>
      <c r="Y383" s="12">
        <f t="shared" ca="1" si="169"/>
        <v>0.3000000000000001</v>
      </c>
      <c r="Z383" s="2" t="str">
        <f t="shared" ca="1" si="170"/>
        <v>Cancelada</v>
      </c>
      <c r="AA383" s="8">
        <f t="shared" ca="1" si="171"/>
        <v>14</v>
      </c>
      <c r="AB383" s="2">
        <f t="shared" ca="1" si="172"/>
        <v>14</v>
      </c>
      <c r="AC383" s="2">
        <f t="shared" ca="1" si="173"/>
        <v>7</v>
      </c>
    </row>
    <row r="384" spans="1:29" x14ac:dyDescent="0.25">
      <c r="A384" s="14" t="str">
        <f t="shared" si="145"/>
        <v>VND-00384</v>
      </c>
      <c r="B384" s="5">
        <f t="shared" ca="1" si="146"/>
        <v>45430</v>
      </c>
      <c r="C384" s="2">
        <f t="shared" ca="1" si="147"/>
        <v>2024</v>
      </c>
      <c r="D384" s="2" t="str">
        <f t="shared" ca="1" si="148"/>
        <v>maio</v>
      </c>
      <c r="E384" s="2" t="str">
        <f t="shared" ca="1" si="149"/>
        <v>2024/05</v>
      </c>
      <c r="F384" s="14" t="str">
        <f t="shared" ca="1" si="150"/>
        <v>CLI-8405</v>
      </c>
      <c r="G384" s="2" t="str">
        <f t="shared" ca="1" si="151"/>
        <v>Carlos</v>
      </c>
      <c r="H384" s="2" t="str">
        <f t="shared" ca="1" si="152"/>
        <v>Novo</v>
      </c>
      <c r="I384" s="2" t="str">
        <f t="shared" ca="1" si="153"/>
        <v>Carlos</v>
      </c>
      <c r="J384" s="14" t="str">
        <f t="shared" ca="1" si="154"/>
        <v>VCL-7354</v>
      </c>
      <c r="K384" s="2" t="str">
        <f t="shared" ca="1" si="155"/>
        <v>Civic</v>
      </c>
      <c r="L384" s="2" t="str">
        <f t="shared" ca="1" si="156"/>
        <v>Honda</v>
      </c>
      <c r="M384" s="2" t="str">
        <f t="shared" ca="1" si="157"/>
        <v>SUV</v>
      </c>
      <c r="N384" s="2">
        <f t="shared" ca="1" si="158"/>
        <v>2024</v>
      </c>
      <c r="O384" s="2" t="str">
        <f t="shared" ca="1" si="159"/>
        <v>Loja</v>
      </c>
      <c r="P384" s="2" t="str">
        <f t="shared" ca="1" si="160"/>
        <v>Norte</v>
      </c>
      <c r="Q384" s="2" t="str">
        <f t="shared" ca="1" si="161"/>
        <v>PA</v>
      </c>
      <c r="R384" s="2" t="str">
        <f t="shared" ca="1" si="162"/>
        <v>Santarém</v>
      </c>
      <c r="S384" s="8">
        <f t="shared" ca="1" si="163"/>
        <v>7</v>
      </c>
      <c r="T384" s="10">
        <f t="shared" ca="1" si="164"/>
        <v>184124</v>
      </c>
      <c r="U384" s="10">
        <f t="shared" ca="1" si="165"/>
        <v>139934.24</v>
      </c>
      <c r="V384" s="10">
        <f t="shared" ca="1" si="166"/>
        <v>1288868</v>
      </c>
      <c r="W384" s="10">
        <f t="shared" ca="1" si="167"/>
        <v>979539.67999999993</v>
      </c>
      <c r="X384" s="10">
        <f t="shared" ca="1" si="168"/>
        <v>309328.32000000007</v>
      </c>
      <c r="Y384" s="12">
        <f t="shared" ca="1" si="169"/>
        <v>0.24000000000000005</v>
      </c>
      <c r="Z384" s="2" t="str">
        <f t="shared" ca="1" si="170"/>
        <v>Cancelada</v>
      </c>
      <c r="AA384" s="8">
        <f t="shared" ca="1" si="171"/>
        <v>7</v>
      </c>
      <c r="AB384" s="2">
        <f t="shared" ca="1" si="172"/>
        <v>13</v>
      </c>
      <c r="AC384" s="2">
        <f t="shared" ca="1" si="173"/>
        <v>7</v>
      </c>
    </row>
    <row r="385" spans="1:29" x14ac:dyDescent="0.25">
      <c r="A385" s="14" t="str">
        <f t="shared" si="145"/>
        <v>VND-00385</v>
      </c>
      <c r="B385" s="5">
        <f t="shared" ca="1" si="146"/>
        <v>45947</v>
      </c>
      <c r="C385" s="2">
        <f t="shared" ca="1" si="147"/>
        <v>2025</v>
      </c>
      <c r="D385" s="2" t="str">
        <f t="shared" ca="1" si="148"/>
        <v>outubro</v>
      </c>
      <c r="E385" s="2" t="str">
        <f t="shared" ca="1" si="149"/>
        <v>2025/10</v>
      </c>
      <c r="F385" s="14" t="str">
        <f t="shared" ca="1" si="150"/>
        <v>CLI-4547</v>
      </c>
      <c r="G385" s="2" t="str">
        <f t="shared" ca="1" si="151"/>
        <v>Rafael</v>
      </c>
      <c r="H385" s="2" t="str">
        <f t="shared" ca="1" si="152"/>
        <v>Novo</v>
      </c>
      <c r="I385" s="2" t="str">
        <f t="shared" ca="1" si="153"/>
        <v>Roberto</v>
      </c>
      <c r="J385" s="14" t="str">
        <f t="shared" ca="1" si="154"/>
        <v>VCL-3496</v>
      </c>
      <c r="K385" s="2" t="str">
        <f t="shared" ca="1" si="155"/>
        <v>Corolla</v>
      </c>
      <c r="L385" s="2" t="str">
        <f t="shared" ca="1" si="156"/>
        <v>Toyota</v>
      </c>
      <c r="M385" s="2" t="str">
        <f t="shared" ca="1" si="157"/>
        <v>SUV</v>
      </c>
      <c r="N385" s="2">
        <f t="shared" ca="1" si="158"/>
        <v>2022</v>
      </c>
      <c r="O385" s="2" t="str">
        <f t="shared" ca="1" si="159"/>
        <v>Loja</v>
      </c>
      <c r="P385" s="2" t="str">
        <f t="shared" ca="1" si="160"/>
        <v>Nordeste</v>
      </c>
      <c r="Q385" s="2" t="str">
        <f t="shared" ca="1" si="161"/>
        <v>BA</v>
      </c>
      <c r="R385" s="2" t="str">
        <f t="shared" ca="1" si="162"/>
        <v>Ilhéus</v>
      </c>
      <c r="S385" s="8">
        <f t="shared" ca="1" si="163"/>
        <v>6</v>
      </c>
      <c r="T385" s="10">
        <f t="shared" ca="1" si="164"/>
        <v>146153</v>
      </c>
      <c r="U385" s="10">
        <f t="shared" ca="1" si="165"/>
        <v>116922.40000000001</v>
      </c>
      <c r="V385" s="10">
        <f t="shared" ca="1" si="166"/>
        <v>876918</v>
      </c>
      <c r="W385" s="10">
        <f t="shared" ca="1" si="167"/>
        <v>701534.4</v>
      </c>
      <c r="X385" s="10">
        <f t="shared" ca="1" si="168"/>
        <v>175383.59999999998</v>
      </c>
      <c r="Y385" s="12">
        <f t="shared" ca="1" si="169"/>
        <v>0.19999999999999998</v>
      </c>
      <c r="Z385" s="2" t="str">
        <f t="shared" ca="1" si="170"/>
        <v>Cancelada</v>
      </c>
      <c r="AA385" s="8">
        <f t="shared" ca="1" si="171"/>
        <v>16</v>
      </c>
      <c r="AB385" s="2">
        <f t="shared" ca="1" si="172"/>
        <v>14</v>
      </c>
      <c r="AC385" s="2">
        <f t="shared" ca="1" si="173"/>
        <v>7</v>
      </c>
    </row>
    <row r="386" spans="1:29" x14ac:dyDescent="0.25">
      <c r="A386" s="14" t="str">
        <f t="shared" si="145"/>
        <v>VND-00386</v>
      </c>
      <c r="B386" s="5">
        <f t="shared" ca="1" si="146"/>
        <v>45160</v>
      </c>
      <c r="C386" s="2">
        <f t="shared" ca="1" si="147"/>
        <v>2023</v>
      </c>
      <c r="D386" s="2" t="str">
        <f t="shared" ca="1" si="148"/>
        <v>agosto</v>
      </c>
      <c r="E386" s="2" t="str">
        <f t="shared" ca="1" si="149"/>
        <v>2023/08</v>
      </c>
      <c r="F386" s="14" t="str">
        <f t="shared" ca="1" si="150"/>
        <v>CLI-7741</v>
      </c>
      <c r="G386" s="2" t="str">
        <f t="shared" ca="1" si="151"/>
        <v>Carlos</v>
      </c>
      <c r="H386" s="2" t="str">
        <f t="shared" ca="1" si="152"/>
        <v>Novo</v>
      </c>
      <c r="I386" s="2" t="str">
        <f t="shared" ca="1" si="153"/>
        <v>Rafael</v>
      </c>
      <c r="J386" s="14" t="str">
        <f t="shared" ca="1" si="154"/>
        <v>VCL-2270</v>
      </c>
      <c r="K386" s="2" t="str">
        <f t="shared" ca="1" si="155"/>
        <v>HB20</v>
      </c>
      <c r="L386" s="2" t="str">
        <f t="shared" ca="1" si="156"/>
        <v>Hyundai</v>
      </c>
      <c r="M386" s="2" t="str">
        <f t="shared" ca="1" si="157"/>
        <v>Popular</v>
      </c>
      <c r="N386" s="2">
        <f t="shared" ca="1" si="158"/>
        <v>2016</v>
      </c>
      <c r="O386" s="2" t="str">
        <f t="shared" ca="1" si="159"/>
        <v>Loja</v>
      </c>
      <c r="P386" s="2" t="str">
        <f t="shared" ca="1" si="160"/>
        <v>Sul</v>
      </c>
      <c r="Q386" s="2" t="str">
        <f t="shared" ca="1" si="161"/>
        <v>PR</v>
      </c>
      <c r="R386" s="2" t="str">
        <f t="shared" ca="1" si="162"/>
        <v>Curitiba</v>
      </c>
      <c r="S386" s="8">
        <f t="shared" ca="1" si="163"/>
        <v>6</v>
      </c>
      <c r="T386" s="10">
        <f t="shared" ca="1" si="164"/>
        <v>218935</v>
      </c>
      <c r="U386" s="10">
        <f t="shared" ca="1" si="165"/>
        <v>168579.95</v>
      </c>
      <c r="V386" s="10">
        <f t="shared" ca="1" si="166"/>
        <v>1313610</v>
      </c>
      <c r="W386" s="10">
        <f t="shared" ca="1" si="167"/>
        <v>1011479.7000000001</v>
      </c>
      <c r="X386" s="10">
        <f t="shared" ca="1" si="168"/>
        <v>302130.29999999993</v>
      </c>
      <c r="Y386" s="12">
        <f t="shared" ca="1" si="169"/>
        <v>0.22999999999999995</v>
      </c>
      <c r="Z386" s="2" t="str">
        <f t="shared" ca="1" si="170"/>
        <v>Em negociação</v>
      </c>
      <c r="AA386" s="8">
        <f t="shared" ca="1" si="171"/>
        <v>26</v>
      </c>
      <c r="AB386" s="2">
        <f t="shared" ca="1" si="172"/>
        <v>20</v>
      </c>
      <c r="AC386" s="2">
        <f t="shared" ca="1" si="173"/>
        <v>10</v>
      </c>
    </row>
    <row r="387" spans="1:29" x14ac:dyDescent="0.25">
      <c r="A387" s="14" t="str">
        <f t="shared" ref="A387:A450" si="174">"VND-"&amp;TEXT(ROW(A387),"00000")</f>
        <v>VND-00387</v>
      </c>
      <c r="B387" s="5">
        <f t="shared" ref="B387:B450" ca="1" si="175">DATE(RANDBETWEEN(2023,2025),RANDBETWEEN(1,12),RANDBETWEEN(1,28))</f>
        <v>45623</v>
      </c>
      <c r="C387" s="2">
        <f t="shared" ref="C387:C450" ca="1" si="176">YEAR(B387)</f>
        <v>2024</v>
      </c>
      <c r="D387" s="2" t="str">
        <f t="shared" ref="D387:D450" ca="1" si="177">TEXT(B387,"mmmm")</f>
        <v>novembro</v>
      </c>
      <c r="E387" s="2" t="str">
        <f t="shared" ref="E387:E450" ca="1" si="178">YEAR(B387)&amp;"/"&amp;TEXT(MONTH(B387),"00")</f>
        <v>2024/11</v>
      </c>
      <c r="F387" s="14" t="str">
        <f t="shared" ref="F387:F450" ca="1" si="179">"CLI-"&amp;RANDBETWEEN(1000,9999)</f>
        <v>CLI-1448</v>
      </c>
      <c r="G387" s="2" t="str">
        <f t="shared" ref="G387:G450" ca="1" si="180">CHOOSE(RANDBETWEEN(1,8),
"João","Maria","Carlos","Ana",
"Lucas","Fernanda","Rafael","Juliana")</f>
        <v>João</v>
      </c>
      <c r="H387" s="2" t="str">
        <f t="shared" ref="H387:H450" ca="1" si="181">IF(RANDBETWEEN(1,10)&gt;6,"Recorrente","Novo")</f>
        <v>Recorrente</v>
      </c>
      <c r="I387" s="2" t="str">
        <f t="shared" ref="I387:I450" ca="1" si="182">IF(P387="Sudeste",CHOOSE(RANDBETWEEN(1,5),"João","Maria","Pedro","Ana","Lucas"),
IF(P387="Sul",CHOOSE(RANDBETWEEN(1,5),"Bruno","Carla","Rafael","Juliana","Marcos"),
IF(P387="Nordeste",CHOOSE(RANDBETWEEN(1,5),"Diego","Fernanda","Roberto","Patricia","André"),
IF(P387="Norte",CHOOSE(RANDBETWEEN(1,5),"Carlos","Amanda","Ricardo","Tatiane","Felipe"),
IF(P387="Centro-Oeste",CHOOSE(RANDBETWEEN(1,5),"Gustavo","Camila","Vinicius","Larissa","Eduardo"),
"")))))</f>
        <v>Diego</v>
      </c>
      <c r="J387" s="14" t="str">
        <f t="shared" ref="J387:J450" ca="1" si="183">"VCL-"&amp;RANDBETWEEN(1000,9999)</f>
        <v>VCL-5918</v>
      </c>
      <c r="K387" s="2" t="str">
        <f t="shared" ref="K387:K450" ca="1" si="184">CHOOSE(RANDBETWEEN(1,6),
"Onix","HB20","Corolla","Civic","Compass","BMW X1")</f>
        <v>Compass</v>
      </c>
      <c r="L387" s="2" t="str">
        <f t="shared" ref="L387:L450" ca="1" si="185">IF(OR(K387="Onix",K387="Tracker"),"Chevrolet",
IF(OR(K387="HB20"),"Hyundai",
IF(OR(K387="Corolla"),"Toyota",
IF(OR(K387="Civic"),"Honda",
IF(OR(K387="Compass"),"Jeep",
"BMW")))))</f>
        <v>Jeep</v>
      </c>
      <c r="M387" s="2" t="str">
        <f t="shared" ref="M387:M450" ca="1" si="186">IF(OR(K387="Onix",K387="HB20"),"Popular",
IF(OR(K387="Corolla",K387="Civic"),"SUV",
IF(K387="Compass","SUV",
IF(K387="BMW X1","Luxo","Esportivo"))))</f>
        <v>SUV</v>
      </c>
      <c r="N387" s="2">
        <f t="shared" ref="N387:N450" ca="1" si="187">IF(RANDBETWEEN(1,10)&lt;=7,RANDBETWEEN(2020,2024),RANDBETWEEN(2015,2019))</f>
        <v>2023</v>
      </c>
      <c r="O387" s="2" t="str">
        <f t="shared" ref="O387:O450" ca="1" si="188">IF(RANDBETWEEN(1,10)&lt;=7,"Loja","Online")</f>
        <v>Loja</v>
      </c>
      <c r="P387" s="2" t="str">
        <f t="shared" ref="P387:P450" ca="1" si="189">CHOOSE(RANDBETWEEN(1,5),"Sudeste","Sul","Nordeste","Norte","Centro-Oeste")</f>
        <v>Nordeste</v>
      </c>
      <c r="Q387" s="2" t="str">
        <f t="shared" ref="Q387:Q450" ca="1" si="190">IF(P387="Sudeste",CHOOSE(RANDBETWEEN(1,4),"SP","RJ","MG","ES"),
IF(P387="Sul",CHOOSE(RANDBETWEEN(1,3),"PR","SC","RS"),
IF(P387="Nordeste",CHOOSE(RANDBETWEEN(1,3),"BA","PE","CE"),
IF(P387="Centro-Oeste",CHOOSE(RANDBETWEEN(1,3),"GO","MT","DF"),
IF(P387="Norte",CHOOSE(RANDBETWEEN(1,2),"AM","PA"),
"GO")))))</f>
        <v>CE</v>
      </c>
      <c r="R387" s="2" t="str">
        <f t="shared" ref="R387:R450" ca="1" si="191">IF(Q387="SP",CHOOSE(RANDBETWEEN(1,5),"São Paulo","Campinas","Santos","Sorocaba","Ribeirão Preto"),
IF(Q387="RJ",CHOOSE(RANDBETWEEN(1,5),"Rio de Janeiro","Niterói","Duque de Caxias","Nova Iguaçu","Petrópolis"),
IF(Q387="MG",CHOOSE(RANDBETWEEN(1,5),"Belo Horizonte","Uberlândia","Contagem","Juiz de Fora","Betim"),
IF(Q387="ES",CHOOSE(RANDBETWEEN(1,5),"Vitória","Vila Velha","Serra","Cariacica","Linhares"),
IF(Q387="PR",CHOOSE(RANDBETWEEN(1,5),"Curitiba","Londrina","Maringá","Ponta Grossa","Cascavel"),
IF(Q387="SC",CHOOSE(RANDBETWEEN(1,5),"Florianópolis","Joinville","Blumenau","Itajaí","Chapecó"),
IF(Q387="RS",CHOOSE(RANDBETWEEN(1,5),"Porto Alegre","Caxias do Sul","Pelotas","Canoas","Santa Maria"),
IF(Q387="BA",CHOOSE(RANDBETWEEN(1,5),"Salvador","Feira de Santana","Vitória da Conquista","Camaçari","Ilhéus"),
IF(Q387="PE",CHOOSE(RANDBETWEEN(1,5),"Recife","Olinda","Jaboatão","Caruaru","Petrolina"),
IF(Q387="CE",CHOOSE(RANDBETWEEN(1,5),"Fortaleza","Caucaia","Juazeiro do Norte","Sobral","Maracanaú"),
IF(Q387="MT",CHOOSE(RANDBETWEEN(1,5),"Cuiabá","Várzea Grande","Rondonópolis","Sinop","Tangará da Serra"),
IF(Q387="DF",CHOOSE(RANDBETWEEN(1,5),"Brasília","Ceilândia","Taguatinga","Samambaia","Planaltina"),
IF(Q387="AM",CHOOSE(RANDBETWEEN(1,5),"Manaus","Parintins","Itacoatiara","Manacapuru","Coari"),
IF(Q387="PA",CHOOSE(RANDBETWEEN(1,5),"Belém","Ananindeua","Santarém","Marabá","Castanhal"),
IF(Q387="GO",CHOOSE(RANDBETWEEN(1,5),"Goiânia","Aparecida de Goiânia","Anápolis","Rio Verde","Luziânia"),
"")))))))))))))))</f>
        <v>Fortaleza</v>
      </c>
      <c r="S387" s="8">
        <f t="shared" ref="S387:S450" ca="1" si="192">RANDBETWEEN(1,10)</f>
        <v>7</v>
      </c>
      <c r="T387" s="10">
        <f t="shared" ref="T387:T450" ca="1" si="193">RANDBETWEEN(60000,250000)</f>
        <v>177657</v>
      </c>
      <c r="U387" s="10">
        <f t="shared" ref="U387:U450" ca="1" si="194">T387*(RANDBETWEEN(70,85)/100)</f>
        <v>131466.18</v>
      </c>
      <c r="V387" s="10">
        <f t="shared" ref="V387:V450" ca="1" si="195">S387*T387</f>
        <v>1243599</v>
      </c>
      <c r="W387" s="10">
        <f t="shared" ref="W387:W450" ca="1" si="196">S387*U387</f>
        <v>920263.26</v>
      </c>
      <c r="X387" s="10">
        <f t="shared" ref="X387:X450" ca="1" si="197">V387-W387</f>
        <v>323335.74</v>
      </c>
      <c r="Y387" s="12">
        <f t="shared" ref="Y387:Y450" ca="1" si="198">X387/V387</f>
        <v>0.26</v>
      </c>
      <c r="Z387" s="2" t="str">
        <f t="shared" ref="Z387:Z450" ca="1" si="199">CHOOSE(RANDBETWEEN(1,3),
"Concluída","Cancelada","Em negociação")</f>
        <v>Cancelada</v>
      </c>
      <c r="AA387" s="8">
        <f t="shared" ref="AA387:AA450" ca="1" si="200">RANDBETWEEN(1,30)</f>
        <v>18</v>
      </c>
      <c r="AB387" s="2">
        <f t="shared" ref="AB387:AB450" ca="1" si="201">IF(M387="Popular",RANDBETWEEN(10,30),
IF(M387="SUV",RANDBETWEEN(5,20),
IF(M387="Luxo",RANDBETWEEN(0,10),
RANDBETWEEN(2,15))))</f>
        <v>11</v>
      </c>
      <c r="AC387" s="2">
        <f t="shared" ref="AC387:AC450" ca="1" si="202">IF(M387="Popular",10,
IF(M387="SUV",7,
IF(M387="Luxo",3,5)))</f>
        <v>7</v>
      </c>
    </row>
    <row r="388" spans="1:29" x14ac:dyDescent="0.25">
      <c r="A388" s="14" t="str">
        <f t="shared" si="174"/>
        <v>VND-00388</v>
      </c>
      <c r="B388" s="5">
        <f t="shared" ca="1" si="175"/>
        <v>45482</v>
      </c>
      <c r="C388" s="2">
        <f t="shared" ca="1" si="176"/>
        <v>2024</v>
      </c>
      <c r="D388" s="2" t="str">
        <f t="shared" ca="1" si="177"/>
        <v>julho</v>
      </c>
      <c r="E388" s="2" t="str">
        <f t="shared" ca="1" si="178"/>
        <v>2024/07</v>
      </c>
      <c r="F388" s="14" t="str">
        <f t="shared" ca="1" si="179"/>
        <v>CLI-5811</v>
      </c>
      <c r="G388" s="2" t="str">
        <f t="shared" ca="1" si="180"/>
        <v>Lucas</v>
      </c>
      <c r="H388" s="2" t="str">
        <f t="shared" ca="1" si="181"/>
        <v>Novo</v>
      </c>
      <c r="I388" s="2" t="str">
        <f t="shared" ca="1" si="182"/>
        <v>Carlos</v>
      </c>
      <c r="J388" s="14" t="str">
        <f t="shared" ca="1" si="183"/>
        <v>VCL-4547</v>
      </c>
      <c r="K388" s="2" t="str">
        <f t="shared" ca="1" si="184"/>
        <v>Corolla</v>
      </c>
      <c r="L388" s="2" t="str">
        <f t="shared" ca="1" si="185"/>
        <v>Toyota</v>
      </c>
      <c r="M388" s="2" t="str">
        <f t="shared" ca="1" si="186"/>
        <v>SUV</v>
      </c>
      <c r="N388" s="2">
        <f t="shared" ca="1" si="187"/>
        <v>2015</v>
      </c>
      <c r="O388" s="2" t="str">
        <f t="shared" ca="1" si="188"/>
        <v>Loja</v>
      </c>
      <c r="P388" s="2" t="str">
        <f t="shared" ca="1" si="189"/>
        <v>Norte</v>
      </c>
      <c r="Q388" s="2" t="str">
        <f t="shared" ca="1" si="190"/>
        <v>PA</v>
      </c>
      <c r="R388" s="2" t="str">
        <f t="shared" ca="1" si="191"/>
        <v>Santarém</v>
      </c>
      <c r="S388" s="8">
        <f t="shared" ca="1" si="192"/>
        <v>10</v>
      </c>
      <c r="T388" s="10">
        <f t="shared" ca="1" si="193"/>
        <v>72129</v>
      </c>
      <c r="U388" s="10">
        <f t="shared" ca="1" si="194"/>
        <v>52654.17</v>
      </c>
      <c r="V388" s="10">
        <f t="shared" ca="1" si="195"/>
        <v>721290</v>
      </c>
      <c r="W388" s="10">
        <f t="shared" ca="1" si="196"/>
        <v>526541.69999999995</v>
      </c>
      <c r="X388" s="10">
        <f t="shared" ca="1" si="197"/>
        <v>194748.30000000005</v>
      </c>
      <c r="Y388" s="12">
        <f t="shared" ca="1" si="198"/>
        <v>0.27000000000000007</v>
      </c>
      <c r="Z388" s="2" t="str">
        <f t="shared" ca="1" si="199"/>
        <v>Em negociação</v>
      </c>
      <c r="AA388" s="8">
        <f t="shared" ca="1" si="200"/>
        <v>23</v>
      </c>
      <c r="AB388" s="2">
        <f t="shared" ca="1" si="201"/>
        <v>6</v>
      </c>
      <c r="AC388" s="2">
        <f t="shared" ca="1" si="202"/>
        <v>7</v>
      </c>
    </row>
    <row r="389" spans="1:29" x14ac:dyDescent="0.25">
      <c r="A389" s="14" t="str">
        <f t="shared" si="174"/>
        <v>VND-00389</v>
      </c>
      <c r="B389" s="5">
        <f t="shared" ca="1" si="175"/>
        <v>45125</v>
      </c>
      <c r="C389" s="2">
        <f t="shared" ca="1" si="176"/>
        <v>2023</v>
      </c>
      <c r="D389" s="2" t="str">
        <f t="shared" ca="1" si="177"/>
        <v>julho</v>
      </c>
      <c r="E389" s="2" t="str">
        <f t="shared" ca="1" si="178"/>
        <v>2023/07</v>
      </c>
      <c r="F389" s="14" t="str">
        <f t="shared" ca="1" si="179"/>
        <v>CLI-1566</v>
      </c>
      <c r="G389" s="2" t="str">
        <f t="shared" ca="1" si="180"/>
        <v>Juliana</v>
      </c>
      <c r="H389" s="2" t="str">
        <f t="shared" ca="1" si="181"/>
        <v>Recorrente</v>
      </c>
      <c r="I389" s="2" t="str">
        <f t="shared" ca="1" si="182"/>
        <v>Eduardo</v>
      </c>
      <c r="J389" s="14" t="str">
        <f t="shared" ca="1" si="183"/>
        <v>VCL-5393</v>
      </c>
      <c r="K389" s="2" t="str">
        <f t="shared" ca="1" si="184"/>
        <v>Civic</v>
      </c>
      <c r="L389" s="2" t="str">
        <f t="shared" ca="1" si="185"/>
        <v>Honda</v>
      </c>
      <c r="M389" s="2" t="str">
        <f t="shared" ca="1" si="186"/>
        <v>SUV</v>
      </c>
      <c r="N389" s="2">
        <f t="shared" ca="1" si="187"/>
        <v>2018</v>
      </c>
      <c r="O389" s="2" t="str">
        <f t="shared" ca="1" si="188"/>
        <v>Loja</v>
      </c>
      <c r="P389" s="2" t="str">
        <f t="shared" ca="1" si="189"/>
        <v>Centro-Oeste</v>
      </c>
      <c r="Q389" s="2" t="str">
        <f t="shared" ca="1" si="190"/>
        <v>GO</v>
      </c>
      <c r="R389" s="2" t="str">
        <f t="shared" ca="1" si="191"/>
        <v>Goiânia</v>
      </c>
      <c r="S389" s="8">
        <f t="shared" ca="1" si="192"/>
        <v>3</v>
      </c>
      <c r="T389" s="10">
        <f t="shared" ca="1" si="193"/>
        <v>124251</v>
      </c>
      <c r="U389" s="10">
        <f t="shared" ca="1" si="194"/>
        <v>94430.76</v>
      </c>
      <c r="V389" s="10">
        <f t="shared" ca="1" si="195"/>
        <v>372753</v>
      </c>
      <c r="W389" s="10">
        <f t="shared" ca="1" si="196"/>
        <v>283292.27999999997</v>
      </c>
      <c r="X389" s="10">
        <f t="shared" ca="1" si="197"/>
        <v>89460.72000000003</v>
      </c>
      <c r="Y389" s="12">
        <f t="shared" ca="1" si="198"/>
        <v>0.24000000000000007</v>
      </c>
      <c r="Z389" s="2" t="str">
        <f t="shared" ca="1" si="199"/>
        <v>Em negociação</v>
      </c>
      <c r="AA389" s="8">
        <f t="shared" ca="1" si="200"/>
        <v>2</v>
      </c>
      <c r="AB389" s="2">
        <f t="shared" ca="1" si="201"/>
        <v>16</v>
      </c>
      <c r="AC389" s="2">
        <f t="shared" ca="1" si="202"/>
        <v>7</v>
      </c>
    </row>
    <row r="390" spans="1:29" x14ac:dyDescent="0.25">
      <c r="A390" s="14" t="str">
        <f t="shared" si="174"/>
        <v>VND-00390</v>
      </c>
      <c r="B390" s="5">
        <f t="shared" ca="1" si="175"/>
        <v>45211</v>
      </c>
      <c r="C390" s="2">
        <f t="shared" ca="1" si="176"/>
        <v>2023</v>
      </c>
      <c r="D390" s="2" t="str">
        <f t="shared" ca="1" si="177"/>
        <v>outubro</v>
      </c>
      <c r="E390" s="2" t="str">
        <f t="shared" ca="1" si="178"/>
        <v>2023/10</v>
      </c>
      <c r="F390" s="14" t="str">
        <f t="shared" ca="1" si="179"/>
        <v>CLI-3457</v>
      </c>
      <c r="G390" s="2" t="str">
        <f t="shared" ca="1" si="180"/>
        <v>Carlos</v>
      </c>
      <c r="H390" s="2" t="str">
        <f t="shared" ca="1" si="181"/>
        <v>Novo</v>
      </c>
      <c r="I390" s="2" t="str">
        <f t="shared" ca="1" si="182"/>
        <v>Gustavo</v>
      </c>
      <c r="J390" s="14" t="str">
        <f t="shared" ca="1" si="183"/>
        <v>VCL-5947</v>
      </c>
      <c r="K390" s="2" t="str">
        <f t="shared" ca="1" si="184"/>
        <v>Corolla</v>
      </c>
      <c r="L390" s="2" t="str">
        <f t="shared" ca="1" si="185"/>
        <v>Toyota</v>
      </c>
      <c r="M390" s="2" t="str">
        <f t="shared" ca="1" si="186"/>
        <v>SUV</v>
      </c>
      <c r="N390" s="2">
        <f t="shared" ca="1" si="187"/>
        <v>2023</v>
      </c>
      <c r="O390" s="2" t="str">
        <f t="shared" ca="1" si="188"/>
        <v>Loja</v>
      </c>
      <c r="P390" s="2" t="str">
        <f t="shared" ca="1" si="189"/>
        <v>Centro-Oeste</v>
      </c>
      <c r="Q390" s="2" t="str">
        <f t="shared" ca="1" si="190"/>
        <v>GO</v>
      </c>
      <c r="R390" s="2" t="str">
        <f t="shared" ca="1" si="191"/>
        <v>Aparecida de Goiânia</v>
      </c>
      <c r="S390" s="8">
        <f t="shared" ca="1" si="192"/>
        <v>10</v>
      </c>
      <c r="T390" s="10">
        <f t="shared" ca="1" si="193"/>
        <v>103534</v>
      </c>
      <c r="U390" s="10">
        <f t="shared" ca="1" si="194"/>
        <v>76615.16</v>
      </c>
      <c r="V390" s="10">
        <f t="shared" ca="1" si="195"/>
        <v>1035340</v>
      </c>
      <c r="W390" s="10">
        <f t="shared" ca="1" si="196"/>
        <v>766151.60000000009</v>
      </c>
      <c r="X390" s="10">
        <f t="shared" ca="1" si="197"/>
        <v>269188.39999999991</v>
      </c>
      <c r="Y390" s="12">
        <f t="shared" ca="1" si="198"/>
        <v>0.2599999999999999</v>
      </c>
      <c r="Z390" s="2" t="str">
        <f t="shared" ca="1" si="199"/>
        <v>Cancelada</v>
      </c>
      <c r="AA390" s="8">
        <f t="shared" ca="1" si="200"/>
        <v>28</v>
      </c>
      <c r="AB390" s="2">
        <f t="shared" ca="1" si="201"/>
        <v>17</v>
      </c>
      <c r="AC390" s="2">
        <f t="shared" ca="1" si="202"/>
        <v>7</v>
      </c>
    </row>
    <row r="391" spans="1:29" x14ac:dyDescent="0.25">
      <c r="A391" s="14" t="str">
        <f t="shared" si="174"/>
        <v>VND-00391</v>
      </c>
      <c r="B391" s="5">
        <f t="shared" ca="1" si="175"/>
        <v>45517</v>
      </c>
      <c r="C391" s="2">
        <f t="shared" ca="1" si="176"/>
        <v>2024</v>
      </c>
      <c r="D391" s="2" t="str">
        <f t="shared" ca="1" si="177"/>
        <v>agosto</v>
      </c>
      <c r="E391" s="2" t="str">
        <f t="shared" ca="1" si="178"/>
        <v>2024/08</v>
      </c>
      <c r="F391" s="14" t="str">
        <f t="shared" ca="1" si="179"/>
        <v>CLI-3276</v>
      </c>
      <c r="G391" s="2" t="str">
        <f t="shared" ca="1" si="180"/>
        <v>Lucas</v>
      </c>
      <c r="H391" s="2" t="str">
        <f t="shared" ca="1" si="181"/>
        <v>Recorrente</v>
      </c>
      <c r="I391" s="2" t="str">
        <f t="shared" ca="1" si="182"/>
        <v>Eduardo</v>
      </c>
      <c r="J391" s="14" t="str">
        <f t="shared" ca="1" si="183"/>
        <v>VCL-4423</v>
      </c>
      <c r="K391" s="2" t="str">
        <f t="shared" ca="1" si="184"/>
        <v>Onix</v>
      </c>
      <c r="L391" s="2" t="str">
        <f t="shared" ca="1" si="185"/>
        <v>Chevrolet</v>
      </c>
      <c r="M391" s="2" t="str">
        <f t="shared" ca="1" si="186"/>
        <v>Popular</v>
      </c>
      <c r="N391" s="2">
        <f t="shared" ca="1" si="187"/>
        <v>2018</v>
      </c>
      <c r="O391" s="2" t="str">
        <f t="shared" ca="1" si="188"/>
        <v>Loja</v>
      </c>
      <c r="P391" s="2" t="str">
        <f t="shared" ca="1" si="189"/>
        <v>Centro-Oeste</v>
      </c>
      <c r="Q391" s="2" t="str">
        <f t="shared" ca="1" si="190"/>
        <v>GO</v>
      </c>
      <c r="R391" s="2" t="str">
        <f t="shared" ca="1" si="191"/>
        <v>Aparecida de Goiânia</v>
      </c>
      <c r="S391" s="8">
        <f t="shared" ca="1" si="192"/>
        <v>10</v>
      </c>
      <c r="T391" s="10">
        <f t="shared" ca="1" si="193"/>
        <v>110760</v>
      </c>
      <c r="U391" s="10">
        <f t="shared" ca="1" si="194"/>
        <v>94146</v>
      </c>
      <c r="V391" s="10">
        <f t="shared" ca="1" si="195"/>
        <v>1107600</v>
      </c>
      <c r="W391" s="10">
        <f t="shared" ca="1" si="196"/>
        <v>941460</v>
      </c>
      <c r="X391" s="10">
        <f t="shared" ca="1" si="197"/>
        <v>166140</v>
      </c>
      <c r="Y391" s="12">
        <f t="shared" ca="1" si="198"/>
        <v>0.15</v>
      </c>
      <c r="Z391" s="2" t="str">
        <f t="shared" ca="1" si="199"/>
        <v>Em negociação</v>
      </c>
      <c r="AA391" s="8">
        <f t="shared" ca="1" si="200"/>
        <v>3</v>
      </c>
      <c r="AB391" s="2">
        <f t="shared" ca="1" si="201"/>
        <v>16</v>
      </c>
      <c r="AC391" s="2">
        <f t="shared" ca="1" si="202"/>
        <v>10</v>
      </c>
    </row>
    <row r="392" spans="1:29" x14ac:dyDescent="0.25">
      <c r="A392" s="14" t="str">
        <f t="shared" si="174"/>
        <v>VND-00392</v>
      </c>
      <c r="B392" s="5">
        <f t="shared" ca="1" si="175"/>
        <v>45222</v>
      </c>
      <c r="C392" s="2">
        <f t="shared" ca="1" si="176"/>
        <v>2023</v>
      </c>
      <c r="D392" s="2" t="str">
        <f t="shared" ca="1" si="177"/>
        <v>outubro</v>
      </c>
      <c r="E392" s="2" t="str">
        <f t="shared" ca="1" si="178"/>
        <v>2023/10</v>
      </c>
      <c r="F392" s="14" t="str">
        <f t="shared" ca="1" si="179"/>
        <v>CLI-8850</v>
      </c>
      <c r="G392" s="2" t="str">
        <f t="shared" ca="1" si="180"/>
        <v>Fernanda</v>
      </c>
      <c r="H392" s="2" t="str">
        <f t="shared" ca="1" si="181"/>
        <v>Novo</v>
      </c>
      <c r="I392" s="2" t="str">
        <f t="shared" ca="1" si="182"/>
        <v>André</v>
      </c>
      <c r="J392" s="14" t="str">
        <f t="shared" ca="1" si="183"/>
        <v>VCL-1261</v>
      </c>
      <c r="K392" s="2" t="str">
        <f t="shared" ca="1" si="184"/>
        <v>Civic</v>
      </c>
      <c r="L392" s="2" t="str">
        <f t="shared" ca="1" si="185"/>
        <v>Honda</v>
      </c>
      <c r="M392" s="2" t="str">
        <f t="shared" ca="1" si="186"/>
        <v>SUV</v>
      </c>
      <c r="N392" s="2">
        <f t="shared" ca="1" si="187"/>
        <v>2016</v>
      </c>
      <c r="O392" s="2" t="str">
        <f t="shared" ca="1" si="188"/>
        <v>Online</v>
      </c>
      <c r="P392" s="2" t="str">
        <f t="shared" ca="1" si="189"/>
        <v>Nordeste</v>
      </c>
      <c r="Q392" s="2" t="str">
        <f t="shared" ca="1" si="190"/>
        <v>BA</v>
      </c>
      <c r="R392" s="2" t="str">
        <f t="shared" ca="1" si="191"/>
        <v>Salvador</v>
      </c>
      <c r="S392" s="8">
        <f t="shared" ca="1" si="192"/>
        <v>5</v>
      </c>
      <c r="T392" s="10">
        <f t="shared" ca="1" si="193"/>
        <v>159173</v>
      </c>
      <c r="U392" s="10">
        <f t="shared" ca="1" si="194"/>
        <v>127338.40000000001</v>
      </c>
      <c r="V392" s="10">
        <f t="shared" ca="1" si="195"/>
        <v>795865</v>
      </c>
      <c r="W392" s="10">
        <f t="shared" ca="1" si="196"/>
        <v>636692</v>
      </c>
      <c r="X392" s="10">
        <f t="shared" ca="1" si="197"/>
        <v>159173</v>
      </c>
      <c r="Y392" s="12">
        <f t="shared" ca="1" si="198"/>
        <v>0.2</v>
      </c>
      <c r="Z392" s="2" t="str">
        <f t="shared" ca="1" si="199"/>
        <v>Cancelada</v>
      </c>
      <c r="AA392" s="8">
        <f t="shared" ca="1" si="200"/>
        <v>19</v>
      </c>
      <c r="AB392" s="2">
        <f t="shared" ca="1" si="201"/>
        <v>17</v>
      </c>
      <c r="AC392" s="2">
        <f t="shared" ca="1" si="202"/>
        <v>7</v>
      </c>
    </row>
    <row r="393" spans="1:29" x14ac:dyDescent="0.25">
      <c r="A393" s="14" t="str">
        <f t="shared" si="174"/>
        <v>VND-00393</v>
      </c>
      <c r="B393" s="5">
        <f t="shared" ca="1" si="175"/>
        <v>45051</v>
      </c>
      <c r="C393" s="2">
        <f t="shared" ca="1" si="176"/>
        <v>2023</v>
      </c>
      <c r="D393" s="2" t="str">
        <f t="shared" ca="1" si="177"/>
        <v>maio</v>
      </c>
      <c r="E393" s="2" t="str">
        <f t="shared" ca="1" si="178"/>
        <v>2023/05</v>
      </c>
      <c r="F393" s="14" t="str">
        <f t="shared" ca="1" si="179"/>
        <v>CLI-7573</v>
      </c>
      <c r="G393" s="2" t="str">
        <f t="shared" ca="1" si="180"/>
        <v>Ana</v>
      </c>
      <c r="H393" s="2" t="str">
        <f t="shared" ca="1" si="181"/>
        <v>Recorrente</v>
      </c>
      <c r="I393" s="2" t="str">
        <f t="shared" ca="1" si="182"/>
        <v>Pedro</v>
      </c>
      <c r="J393" s="14" t="str">
        <f t="shared" ca="1" si="183"/>
        <v>VCL-3939</v>
      </c>
      <c r="K393" s="2" t="str">
        <f t="shared" ca="1" si="184"/>
        <v>Compass</v>
      </c>
      <c r="L393" s="2" t="str">
        <f t="shared" ca="1" si="185"/>
        <v>Jeep</v>
      </c>
      <c r="M393" s="2" t="str">
        <f t="shared" ca="1" si="186"/>
        <v>SUV</v>
      </c>
      <c r="N393" s="2">
        <f t="shared" ca="1" si="187"/>
        <v>2020</v>
      </c>
      <c r="O393" s="2" t="str">
        <f t="shared" ca="1" si="188"/>
        <v>Online</v>
      </c>
      <c r="P393" s="2" t="str">
        <f t="shared" ca="1" si="189"/>
        <v>Sudeste</v>
      </c>
      <c r="Q393" s="2" t="str">
        <f t="shared" ca="1" si="190"/>
        <v>SP</v>
      </c>
      <c r="R393" s="2" t="str">
        <f t="shared" ca="1" si="191"/>
        <v>Santos</v>
      </c>
      <c r="S393" s="8">
        <f t="shared" ca="1" si="192"/>
        <v>9</v>
      </c>
      <c r="T393" s="10">
        <f t="shared" ca="1" si="193"/>
        <v>105701</v>
      </c>
      <c r="U393" s="10">
        <f t="shared" ca="1" si="194"/>
        <v>83503.790000000008</v>
      </c>
      <c r="V393" s="10">
        <f t="shared" ca="1" si="195"/>
        <v>951309</v>
      </c>
      <c r="W393" s="10">
        <f t="shared" ca="1" si="196"/>
        <v>751534.1100000001</v>
      </c>
      <c r="X393" s="10">
        <f t="shared" ca="1" si="197"/>
        <v>199774.8899999999</v>
      </c>
      <c r="Y393" s="12">
        <f t="shared" ca="1" si="198"/>
        <v>0.20999999999999988</v>
      </c>
      <c r="Z393" s="2" t="str">
        <f t="shared" ca="1" si="199"/>
        <v>Em negociação</v>
      </c>
      <c r="AA393" s="8">
        <f t="shared" ca="1" si="200"/>
        <v>28</v>
      </c>
      <c r="AB393" s="2">
        <f t="shared" ca="1" si="201"/>
        <v>14</v>
      </c>
      <c r="AC393" s="2">
        <f t="shared" ca="1" si="202"/>
        <v>7</v>
      </c>
    </row>
    <row r="394" spans="1:29" x14ac:dyDescent="0.25">
      <c r="A394" s="14" t="str">
        <f t="shared" si="174"/>
        <v>VND-00394</v>
      </c>
      <c r="B394" s="5">
        <f t="shared" ca="1" si="175"/>
        <v>45100</v>
      </c>
      <c r="C394" s="2">
        <f t="shared" ca="1" si="176"/>
        <v>2023</v>
      </c>
      <c r="D394" s="2" t="str">
        <f t="shared" ca="1" si="177"/>
        <v>junho</v>
      </c>
      <c r="E394" s="2" t="str">
        <f t="shared" ca="1" si="178"/>
        <v>2023/06</v>
      </c>
      <c r="F394" s="14" t="str">
        <f t="shared" ca="1" si="179"/>
        <v>CLI-2623</v>
      </c>
      <c r="G394" s="2" t="str">
        <f t="shared" ca="1" si="180"/>
        <v>Fernanda</v>
      </c>
      <c r="H394" s="2" t="str">
        <f t="shared" ca="1" si="181"/>
        <v>Recorrente</v>
      </c>
      <c r="I394" s="2" t="str">
        <f t="shared" ca="1" si="182"/>
        <v>Eduardo</v>
      </c>
      <c r="J394" s="14" t="str">
        <f t="shared" ca="1" si="183"/>
        <v>VCL-5191</v>
      </c>
      <c r="K394" s="2" t="str">
        <f t="shared" ca="1" si="184"/>
        <v>Onix</v>
      </c>
      <c r="L394" s="2" t="str">
        <f t="shared" ca="1" si="185"/>
        <v>Chevrolet</v>
      </c>
      <c r="M394" s="2" t="str">
        <f t="shared" ca="1" si="186"/>
        <v>Popular</v>
      </c>
      <c r="N394" s="2">
        <f t="shared" ca="1" si="187"/>
        <v>2016</v>
      </c>
      <c r="O394" s="2" t="str">
        <f t="shared" ca="1" si="188"/>
        <v>Loja</v>
      </c>
      <c r="P394" s="2" t="str">
        <f t="shared" ca="1" si="189"/>
        <v>Centro-Oeste</v>
      </c>
      <c r="Q394" s="2" t="str">
        <f t="shared" ca="1" si="190"/>
        <v>GO</v>
      </c>
      <c r="R394" s="2" t="str">
        <f t="shared" ca="1" si="191"/>
        <v>Aparecida de Goiânia</v>
      </c>
      <c r="S394" s="8">
        <f t="shared" ca="1" si="192"/>
        <v>7</v>
      </c>
      <c r="T394" s="10">
        <f t="shared" ca="1" si="193"/>
        <v>225045</v>
      </c>
      <c r="U394" s="10">
        <f t="shared" ca="1" si="194"/>
        <v>180036</v>
      </c>
      <c r="V394" s="10">
        <f t="shared" ca="1" si="195"/>
        <v>1575315</v>
      </c>
      <c r="W394" s="10">
        <f t="shared" ca="1" si="196"/>
        <v>1260252</v>
      </c>
      <c r="X394" s="10">
        <f t="shared" ca="1" si="197"/>
        <v>315063</v>
      </c>
      <c r="Y394" s="12">
        <f t="shared" ca="1" si="198"/>
        <v>0.2</v>
      </c>
      <c r="Z394" s="2" t="str">
        <f t="shared" ca="1" si="199"/>
        <v>Concluída</v>
      </c>
      <c r="AA394" s="8">
        <f t="shared" ca="1" si="200"/>
        <v>18</v>
      </c>
      <c r="AB394" s="2">
        <f t="shared" ca="1" si="201"/>
        <v>18</v>
      </c>
      <c r="AC394" s="2">
        <f t="shared" ca="1" si="202"/>
        <v>10</v>
      </c>
    </row>
    <row r="395" spans="1:29" x14ac:dyDescent="0.25">
      <c r="A395" s="14" t="str">
        <f t="shared" si="174"/>
        <v>VND-00395</v>
      </c>
      <c r="B395" s="5">
        <f t="shared" ca="1" si="175"/>
        <v>45894</v>
      </c>
      <c r="C395" s="2">
        <f t="shared" ca="1" si="176"/>
        <v>2025</v>
      </c>
      <c r="D395" s="2" t="str">
        <f t="shared" ca="1" si="177"/>
        <v>agosto</v>
      </c>
      <c r="E395" s="2" t="str">
        <f t="shared" ca="1" si="178"/>
        <v>2025/08</v>
      </c>
      <c r="F395" s="14" t="str">
        <f t="shared" ca="1" si="179"/>
        <v>CLI-3495</v>
      </c>
      <c r="G395" s="2" t="str">
        <f t="shared" ca="1" si="180"/>
        <v>Rafael</v>
      </c>
      <c r="H395" s="2" t="str">
        <f t="shared" ca="1" si="181"/>
        <v>Recorrente</v>
      </c>
      <c r="I395" s="2" t="str">
        <f t="shared" ca="1" si="182"/>
        <v>Rafael</v>
      </c>
      <c r="J395" s="14" t="str">
        <f t="shared" ca="1" si="183"/>
        <v>VCL-3673</v>
      </c>
      <c r="K395" s="2" t="str">
        <f t="shared" ca="1" si="184"/>
        <v>BMW X1</v>
      </c>
      <c r="L395" s="2" t="str">
        <f t="shared" ca="1" si="185"/>
        <v>BMW</v>
      </c>
      <c r="M395" s="2" t="str">
        <f t="shared" ca="1" si="186"/>
        <v>Luxo</v>
      </c>
      <c r="N395" s="2">
        <f t="shared" ca="1" si="187"/>
        <v>2017</v>
      </c>
      <c r="O395" s="2" t="str">
        <f t="shared" ca="1" si="188"/>
        <v>Loja</v>
      </c>
      <c r="P395" s="2" t="str">
        <f t="shared" ca="1" si="189"/>
        <v>Sul</v>
      </c>
      <c r="Q395" s="2" t="str">
        <f t="shared" ca="1" si="190"/>
        <v>SC</v>
      </c>
      <c r="R395" s="2" t="str">
        <f t="shared" ca="1" si="191"/>
        <v>Itajaí</v>
      </c>
      <c r="S395" s="8">
        <f t="shared" ca="1" si="192"/>
        <v>1</v>
      </c>
      <c r="T395" s="10">
        <f t="shared" ca="1" si="193"/>
        <v>194412</v>
      </c>
      <c r="U395" s="10">
        <f t="shared" ca="1" si="194"/>
        <v>155529.60000000001</v>
      </c>
      <c r="V395" s="10">
        <f t="shared" ca="1" si="195"/>
        <v>194412</v>
      </c>
      <c r="W395" s="10">
        <f t="shared" ca="1" si="196"/>
        <v>155529.60000000001</v>
      </c>
      <c r="X395" s="10">
        <f t="shared" ca="1" si="197"/>
        <v>38882.399999999994</v>
      </c>
      <c r="Y395" s="12">
        <f t="shared" ca="1" si="198"/>
        <v>0.19999999999999998</v>
      </c>
      <c r="Z395" s="2" t="str">
        <f t="shared" ca="1" si="199"/>
        <v>Concluída</v>
      </c>
      <c r="AA395" s="8">
        <f t="shared" ca="1" si="200"/>
        <v>28</v>
      </c>
      <c r="AB395" s="2">
        <f t="shared" ca="1" si="201"/>
        <v>9</v>
      </c>
      <c r="AC395" s="2">
        <f t="shared" ca="1" si="202"/>
        <v>3</v>
      </c>
    </row>
    <row r="396" spans="1:29" x14ac:dyDescent="0.25">
      <c r="A396" s="14" t="str">
        <f t="shared" si="174"/>
        <v>VND-00396</v>
      </c>
      <c r="B396" s="5">
        <f t="shared" ca="1" si="175"/>
        <v>45124</v>
      </c>
      <c r="C396" s="2">
        <f t="shared" ca="1" si="176"/>
        <v>2023</v>
      </c>
      <c r="D396" s="2" t="str">
        <f t="shared" ca="1" si="177"/>
        <v>julho</v>
      </c>
      <c r="E396" s="2" t="str">
        <f t="shared" ca="1" si="178"/>
        <v>2023/07</v>
      </c>
      <c r="F396" s="14" t="str">
        <f t="shared" ca="1" si="179"/>
        <v>CLI-1233</v>
      </c>
      <c r="G396" s="2" t="str">
        <f t="shared" ca="1" si="180"/>
        <v>João</v>
      </c>
      <c r="H396" s="2" t="str">
        <f t="shared" ca="1" si="181"/>
        <v>Recorrente</v>
      </c>
      <c r="I396" s="2" t="str">
        <f t="shared" ca="1" si="182"/>
        <v>Carlos</v>
      </c>
      <c r="J396" s="14" t="str">
        <f t="shared" ca="1" si="183"/>
        <v>VCL-6088</v>
      </c>
      <c r="K396" s="2" t="str">
        <f t="shared" ca="1" si="184"/>
        <v>BMW X1</v>
      </c>
      <c r="L396" s="2" t="str">
        <f t="shared" ca="1" si="185"/>
        <v>BMW</v>
      </c>
      <c r="M396" s="2" t="str">
        <f t="shared" ca="1" si="186"/>
        <v>Luxo</v>
      </c>
      <c r="N396" s="2">
        <f t="shared" ca="1" si="187"/>
        <v>2019</v>
      </c>
      <c r="O396" s="2" t="str">
        <f t="shared" ca="1" si="188"/>
        <v>Online</v>
      </c>
      <c r="P396" s="2" t="str">
        <f t="shared" ca="1" si="189"/>
        <v>Norte</v>
      </c>
      <c r="Q396" s="2" t="str">
        <f t="shared" ca="1" si="190"/>
        <v>PA</v>
      </c>
      <c r="R396" s="2" t="str">
        <f t="shared" ca="1" si="191"/>
        <v>Belém</v>
      </c>
      <c r="S396" s="8">
        <f t="shared" ca="1" si="192"/>
        <v>9</v>
      </c>
      <c r="T396" s="10">
        <f t="shared" ca="1" si="193"/>
        <v>172283</v>
      </c>
      <c r="U396" s="10">
        <f t="shared" ca="1" si="194"/>
        <v>139549.23000000001</v>
      </c>
      <c r="V396" s="10">
        <f t="shared" ca="1" si="195"/>
        <v>1550547</v>
      </c>
      <c r="W396" s="10">
        <f t="shared" ca="1" si="196"/>
        <v>1255943.07</v>
      </c>
      <c r="X396" s="10">
        <f t="shared" ca="1" si="197"/>
        <v>294603.92999999993</v>
      </c>
      <c r="Y396" s="12">
        <f t="shared" ca="1" si="198"/>
        <v>0.18999999999999995</v>
      </c>
      <c r="Z396" s="2" t="str">
        <f t="shared" ca="1" si="199"/>
        <v>Concluída</v>
      </c>
      <c r="AA396" s="8">
        <f t="shared" ca="1" si="200"/>
        <v>17</v>
      </c>
      <c r="AB396" s="2">
        <f t="shared" ca="1" si="201"/>
        <v>0</v>
      </c>
      <c r="AC396" s="2">
        <f t="shared" ca="1" si="202"/>
        <v>3</v>
      </c>
    </row>
    <row r="397" spans="1:29" x14ac:dyDescent="0.25">
      <c r="A397" s="14" t="str">
        <f t="shared" si="174"/>
        <v>VND-00397</v>
      </c>
      <c r="B397" s="5">
        <f t="shared" ca="1" si="175"/>
        <v>45227</v>
      </c>
      <c r="C397" s="2">
        <f t="shared" ca="1" si="176"/>
        <v>2023</v>
      </c>
      <c r="D397" s="2" t="str">
        <f t="shared" ca="1" si="177"/>
        <v>outubro</v>
      </c>
      <c r="E397" s="2" t="str">
        <f t="shared" ca="1" si="178"/>
        <v>2023/10</v>
      </c>
      <c r="F397" s="14" t="str">
        <f t="shared" ca="1" si="179"/>
        <v>CLI-9963</v>
      </c>
      <c r="G397" s="2" t="str">
        <f t="shared" ca="1" si="180"/>
        <v>João</v>
      </c>
      <c r="H397" s="2" t="str">
        <f t="shared" ca="1" si="181"/>
        <v>Novo</v>
      </c>
      <c r="I397" s="2" t="str">
        <f t="shared" ca="1" si="182"/>
        <v>Gustavo</v>
      </c>
      <c r="J397" s="14" t="str">
        <f t="shared" ca="1" si="183"/>
        <v>VCL-3457</v>
      </c>
      <c r="K397" s="2" t="str">
        <f t="shared" ca="1" si="184"/>
        <v>Civic</v>
      </c>
      <c r="L397" s="2" t="str">
        <f t="shared" ca="1" si="185"/>
        <v>Honda</v>
      </c>
      <c r="M397" s="2" t="str">
        <f t="shared" ca="1" si="186"/>
        <v>SUV</v>
      </c>
      <c r="N397" s="2">
        <f t="shared" ca="1" si="187"/>
        <v>2020</v>
      </c>
      <c r="O397" s="2" t="str">
        <f t="shared" ca="1" si="188"/>
        <v>Loja</v>
      </c>
      <c r="P397" s="2" t="str">
        <f t="shared" ca="1" si="189"/>
        <v>Centro-Oeste</v>
      </c>
      <c r="Q397" s="2" t="str">
        <f t="shared" ca="1" si="190"/>
        <v>DF</v>
      </c>
      <c r="R397" s="2" t="str">
        <f t="shared" ca="1" si="191"/>
        <v>Planaltina</v>
      </c>
      <c r="S397" s="8">
        <f t="shared" ca="1" si="192"/>
        <v>10</v>
      </c>
      <c r="T397" s="10">
        <f t="shared" ca="1" si="193"/>
        <v>151863</v>
      </c>
      <c r="U397" s="10">
        <f t="shared" ca="1" si="194"/>
        <v>109341.36</v>
      </c>
      <c r="V397" s="10">
        <f t="shared" ca="1" si="195"/>
        <v>1518630</v>
      </c>
      <c r="W397" s="10">
        <f t="shared" ca="1" si="196"/>
        <v>1093413.6000000001</v>
      </c>
      <c r="X397" s="10">
        <f t="shared" ca="1" si="197"/>
        <v>425216.39999999991</v>
      </c>
      <c r="Y397" s="12">
        <f t="shared" ca="1" si="198"/>
        <v>0.27999999999999992</v>
      </c>
      <c r="Z397" s="2" t="str">
        <f t="shared" ca="1" si="199"/>
        <v>Em negociação</v>
      </c>
      <c r="AA397" s="8">
        <f t="shared" ca="1" si="200"/>
        <v>1</v>
      </c>
      <c r="AB397" s="2">
        <f t="shared" ca="1" si="201"/>
        <v>13</v>
      </c>
      <c r="AC397" s="2">
        <f t="shared" ca="1" si="202"/>
        <v>7</v>
      </c>
    </row>
    <row r="398" spans="1:29" x14ac:dyDescent="0.25">
      <c r="A398" s="14" t="str">
        <f t="shared" si="174"/>
        <v>VND-00398</v>
      </c>
      <c r="B398" s="5">
        <f t="shared" ca="1" si="175"/>
        <v>45778</v>
      </c>
      <c r="C398" s="2">
        <f t="shared" ca="1" si="176"/>
        <v>2025</v>
      </c>
      <c r="D398" s="2" t="str">
        <f t="shared" ca="1" si="177"/>
        <v>maio</v>
      </c>
      <c r="E398" s="2" t="str">
        <f t="shared" ca="1" si="178"/>
        <v>2025/05</v>
      </c>
      <c r="F398" s="14" t="str">
        <f t="shared" ca="1" si="179"/>
        <v>CLI-4458</v>
      </c>
      <c r="G398" s="2" t="str">
        <f t="shared" ca="1" si="180"/>
        <v>Rafael</v>
      </c>
      <c r="H398" s="2" t="str">
        <f t="shared" ca="1" si="181"/>
        <v>Novo</v>
      </c>
      <c r="I398" s="2" t="str">
        <f t="shared" ca="1" si="182"/>
        <v>Ricardo</v>
      </c>
      <c r="J398" s="14" t="str">
        <f t="shared" ca="1" si="183"/>
        <v>VCL-5953</v>
      </c>
      <c r="K398" s="2" t="str">
        <f t="shared" ca="1" si="184"/>
        <v>Corolla</v>
      </c>
      <c r="L398" s="2" t="str">
        <f t="shared" ca="1" si="185"/>
        <v>Toyota</v>
      </c>
      <c r="M398" s="2" t="str">
        <f t="shared" ca="1" si="186"/>
        <v>SUV</v>
      </c>
      <c r="N398" s="2">
        <f t="shared" ca="1" si="187"/>
        <v>2024</v>
      </c>
      <c r="O398" s="2" t="str">
        <f t="shared" ca="1" si="188"/>
        <v>Loja</v>
      </c>
      <c r="P398" s="2" t="str">
        <f t="shared" ca="1" si="189"/>
        <v>Norte</v>
      </c>
      <c r="Q398" s="2" t="str">
        <f t="shared" ca="1" si="190"/>
        <v>AM</v>
      </c>
      <c r="R398" s="2" t="str">
        <f t="shared" ca="1" si="191"/>
        <v>Itacoatiara</v>
      </c>
      <c r="S398" s="8">
        <f t="shared" ca="1" si="192"/>
        <v>10</v>
      </c>
      <c r="T398" s="10">
        <f t="shared" ca="1" si="193"/>
        <v>240619</v>
      </c>
      <c r="U398" s="10">
        <f t="shared" ca="1" si="194"/>
        <v>185276.63</v>
      </c>
      <c r="V398" s="10">
        <f t="shared" ca="1" si="195"/>
        <v>2406190</v>
      </c>
      <c r="W398" s="10">
        <f t="shared" ca="1" si="196"/>
        <v>1852766.3</v>
      </c>
      <c r="X398" s="10">
        <f t="shared" ca="1" si="197"/>
        <v>553423.69999999995</v>
      </c>
      <c r="Y398" s="12">
        <f t="shared" ca="1" si="198"/>
        <v>0.22999999999999998</v>
      </c>
      <c r="Z398" s="2" t="str">
        <f t="shared" ca="1" si="199"/>
        <v>Em negociação</v>
      </c>
      <c r="AA398" s="8">
        <f t="shared" ca="1" si="200"/>
        <v>9</v>
      </c>
      <c r="AB398" s="2">
        <f t="shared" ca="1" si="201"/>
        <v>18</v>
      </c>
      <c r="AC398" s="2">
        <f t="shared" ca="1" si="202"/>
        <v>7</v>
      </c>
    </row>
    <row r="399" spans="1:29" x14ac:dyDescent="0.25">
      <c r="A399" s="14" t="str">
        <f t="shared" si="174"/>
        <v>VND-00399</v>
      </c>
      <c r="B399" s="5">
        <f t="shared" ca="1" si="175"/>
        <v>45047</v>
      </c>
      <c r="C399" s="2">
        <f t="shared" ca="1" si="176"/>
        <v>2023</v>
      </c>
      <c r="D399" s="2" t="str">
        <f t="shared" ca="1" si="177"/>
        <v>maio</v>
      </c>
      <c r="E399" s="2" t="str">
        <f t="shared" ca="1" si="178"/>
        <v>2023/05</v>
      </c>
      <c r="F399" s="14" t="str">
        <f t="shared" ca="1" si="179"/>
        <v>CLI-3756</v>
      </c>
      <c r="G399" s="2" t="str">
        <f t="shared" ca="1" si="180"/>
        <v>Maria</v>
      </c>
      <c r="H399" s="2" t="str">
        <f t="shared" ca="1" si="181"/>
        <v>Recorrente</v>
      </c>
      <c r="I399" s="2" t="str">
        <f t="shared" ca="1" si="182"/>
        <v>Ana</v>
      </c>
      <c r="J399" s="14" t="str">
        <f t="shared" ca="1" si="183"/>
        <v>VCL-1225</v>
      </c>
      <c r="K399" s="2" t="str">
        <f t="shared" ca="1" si="184"/>
        <v>Corolla</v>
      </c>
      <c r="L399" s="2" t="str">
        <f t="shared" ca="1" si="185"/>
        <v>Toyota</v>
      </c>
      <c r="M399" s="2" t="str">
        <f t="shared" ca="1" si="186"/>
        <v>SUV</v>
      </c>
      <c r="N399" s="2">
        <f t="shared" ca="1" si="187"/>
        <v>2022</v>
      </c>
      <c r="O399" s="2" t="str">
        <f t="shared" ca="1" si="188"/>
        <v>Online</v>
      </c>
      <c r="P399" s="2" t="str">
        <f t="shared" ca="1" si="189"/>
        <v>Sudeste</v>
      </c>
      <c r="Q399" s="2" t="str">
        <f t="shared" ca="1" si="190"/>
        <v>SP</v>
      </c>
      <c r="R399" s="2" t="str">
        <f t="shared" ca="1" si="191"/>
        <v>São Paulo</v>
      </c>
      <c r="S399" s="8">
        <f t="shared" ca="1" si="192"/>
        <v>2</v>
      </c>
      <c r="T399" s="10">
        <f t="shared" ca="1" si="193"/>
        <v>177860</v>
      </c>
      <c r="U399" s="10">
        <f t="shared" ca="1" si="194"/>
        <v>124501.99999999999</v>
      </c>
      <c r="V399" s="10">
        <f t="shared" ca="1" si="195"/>
        <v>355720</v>
      </c>
      <c r="W399" s="10">
        <f t="shared" ca="1" si="196"/>
        <v>249003.99999999997</v>
      </c>
      <c r="X399" s="10">
        <f t="shared" ca="1" si="197"/>
        <v>106716.00000000003</v>
      </c>
      <c r="Y399" s="12">
        <f t="shared" ca="1" si="198"/>
        <v>0.3000000000000001</v>
      </c>
      <c r="Z399" s="2" t="str">
        <f t="shared" ca="1" si="199"/>
        <v>Cancelada</v>
      </c>
      <c r="AA399" s="8">
        <f t="shared" ca="1" si="200"/>
        <v>12</v>
      </c>
      <c r="AB399" s="2">
        <f t="shared" ca="1" si="201"/>
        <v>11</v>
      </c>
      <c r="AC399" s="2">
        <f t="shared" ca="1" si="202"/>
        <v>7</v>
      </c>
    </row>
    <row r="400" spans="1:29" x14ac:dyDescent="0.25">
      <c r="A400" s="14" t="str">
        <f t="shared" si="174"/>
        <v>VND-00400</v>
      </c>
      <c r="B400" s="5">
        <f t="shared" ca="1" si="175"/>
        <v>45285</v>
      </c>
      <c r="C400" s="2">
        <f t="shared" ca="1" si="176"/>
        <v>2023</v>
      </c>
      <c r="D400" s="2" t="str">
        <f t="shared" ca="1" si="177"/>
        <v>dezembro</v>
      </c>
      <c r="E400" s="2" t="str">
        <f t="shared" ca="1" si="178"/>
        <v>2023/12</v>
      </c>
      <c r="F400" s="14" t="str">
        <f t="shared" ca="1" si="179"/>
        <v>CLI-9747</v>
      </c>
      <c r="G400" s="2" t="str">
        <f t="shared" ca="1" si="180"/>
        <v>Juliana</v>
      </c>
      <c r="H400" s="2" t="str">
        <f t="shared" ca="1" si="181"/>
        <v>Recorrente</v>
      </c>
      <c r="I400" s="2" t="str">
        <f t="shared" ca="1" si="182"/>
        <v>Diego</v>
      </c>
      <c r="J400" s="14" t="str">
        <f t="shared" ca="1" si="183"/>
        <v>VCL-4595</v>
      </c>
      <c r="K400" s="2" t="str">
        <f t="shared" ca="1" si="184"/>
        <v>HB20</v>
      </c>
      <c r="L400" s="2" t="str">
        <f t="shared" ca="1" si="185"/>
        <v>Hyundai</v>
      </c>
      <c r="M400" s="2" t="str">
        <f t="shared" ca="1" si="186"/>
        <v>Popular</v>
      </c>
      <c r="N400" s="2">
        <f t="shared" ca="1" si="187"/>
        <v>2016</v>
      </c>
      <c r="O400" s="2" t="str">
        <f t="shared" ca="1" si="188"/>
        <v>Loja</v>
      </c>
      <c r="P400" s="2" t="str">
        <f t="shared" ca="1" si="189"/>
        <v>Nordeste</v>
      </c>
      <c r="Q400" s="2" t="str">
        <f t="shared" ca="1" si="190"/>
        <v>BA</v>
      </c>
      <c r="R400" s="2" t="str">
        <f t="shared" ca="1" si="191"/>
        <v>Camaçari</v>
      </c>
      <c r="S400" s="8">
        <f t="shared" ca="1" si="192"/>
        <v>6</v>
      </c>
      <c r="T400" s="10">
        <f t="shared" ca="1" si="193"/>
        <v>204349</v>
      </c>
      <c r="U400" s="10">
        <f t="shared" ca="1" si="194"/>
        <v>161435.71000000002</v>
      </c>
      <c r="V400" s="10">
        <f t="shared" ca="1" si="195"/>
        <v>1226094</v>
      </c>
      <c r="W400" s="10">
        <f t="shared" ca="1" si="196"/>
        <v>968614.26000000013</v>
      </c>
      <c r="X400" s="10">
        <f t="shared" ca="1" si="197"/>
        <v>257479.73999999987</v>
      </c>
      <c r="Y400" s="12">
        <f t="shared" ca="1" si="198"/>
        <v>0.20999999999999991</v>
      </c>
      <c r="Z400" s="2" t="str">
        <f t="shared" ca="1" si="199"/>
        <v>Cancelada</v>
      </c>
      <c r="AA400" s="8">
        <f t="shared" ca="1" si="200"/>
        <v>19</v>
      </c>
      <c r="AB400" s="2">
        <f t="shared" ca="1" si="201"/>
        <v>16</v>
      </c>
      <c r="AC400" s="2">
        <f t="shared" ca="1" si="202"/>
        <v>10</v>
      </c>
    </row>
    <row r="401" spans="1:29" x14ac:dyDescent="0.25">
      <c r="A401" s="14" t="str">
        <f t="shared" si="174"/>
        <v>VND-00401</v>
      </c>
      <c r="B401" s="5">
        <f t="shared" ca="1" si="175"/>
        <v>45447</v>
      </c>
      <c r="C401" s="2">
        <f t="shared" ca="1" si="176"/>
        <v>2024</v>
      </c>
      <c r="D401" s="2" t="str">
        <f t="shared" ca="1" si="177"/>
        <v>junho</v>
      </c>
      <c r="E401" s="2" t="str">
        <f t="shared" ca="1" si="178"/>
        <v>2024/06</v>
      </c>
      <c r="F401" s="14" t="str">
        <f t="shared" ca="1" si="179"/>
        <v>CLI-5130</v>
      </c>
      <c r="G401" s="2" t="str">
        <f t="shared" ca="1" si="180"/>
        <v>Carlos</v>
      </c>
      <c r="H401" s="2" t="str">
        <f t="shared" ca="1" si="181"/>
        <v>Recorrente</v>
      </c>
      <c r="I401" s="2" t="str">
        <f t="shared" ca="1" si="182"/>
        <v>Roberto</v>
      </c>
      <c r="J401" s="14" t="str">
        <f t="shared" ca="1" si="183"/>
        <v>VCL-1809</v>
      </c>
      <c r="K401" s="2" t="str">
        <f t="shared" ca="1" si="184"/>
        <v>BMW X1</v>
      </c>
      <c r="L401" s="2" t="str">
        <f t="shared" ca="1" si="185"/>
        <v>BMW</v>
      </c>
      <c r="M401" s="2" t="str">
        <f t="shared" ca="1" si="186"/>
        <v>Luxo</v>
      </c>
      <c r="N401" s="2">
        <f t="shared" ca="1" si="187"/>
        <v>2019</v>
      </c>
      <c r="O401" s="2" t="str">
        <f t="shared" ca="1" si="188"/>
        <v>Loja</v>
      </c>
      <c r="P401" s="2" t="str">
        <f t="shared" ca="1" si="189"/>
        <v>Nordeste</v>
      </c>
      <c r="Q401" s="2" t="str">
        <f t="shared" ca="1" si="190"/>
        <v>BA</v>
      </c>
      <c r="R401" s="2" t="str">
        <f t="shared" ca="1" si="191"/>
        <v>Camaçari</v>
      </c>
      <c r="S401" s="8">
        <f t="shared" ca="1" si="192"/>
        <v>4</v>
      </c>
      <c r="T401" s="10">
        <f t="shared" ca="1" si="193"/>
        <v>60597</v>
      </c>
      <c r="U401" s="10">
        <f t="shared" ca="1" si="194"/>
        <v>45447.75</v>
      </c>
      <c r="V401" s="10">
        <f t="shared" ca="1" si="195"/>
        <v>242388</v>
      </c>
      <c r="W401" s="10">
        <f t="shared" ca="1" si="196"/>
        <v>181791</v>
      </c>
      <c r="X401" s="10">
        <f t="shared" ca="1" si="197"/>
        <v>60597</v>
      </c>
      <c r="Y401" s="12">
        <f t="shared" ca="1" si="198"/>
        <v>0.25</v>
      </c>
      <c r="Z401" s="2" t="str">
        <f t="shared" ca="1" si="199"/>
        <v>Concluída</v>
      </c>
      <c r="AA401" s="8">
        <f t="shared" ca="1" si="200"/>
        <v>2</v>
      </c>
      <c r="AB401" s="2">
        <f t="shared" ca="1" si="201"/>
        <v>5</v>
      </c>
      <c r="AC401" s="2">
        <f t="shared" ca="1" si="202"/>
        <v>3</v>
      </c>
    </row>
    <row r="402" spans="1:29" x14ac:dyDescent="0.25">
      <c r="A402" s="14" t="str">
        <f t="shared" si="174"/>
        <v>VND-00402</v>
      </c>
      <c r="B402" s="5">
        <f t="shared" ca="1" si="175"/>
        <v>45949</v>
      </c>
      <c r="C402" s="2">
        <f t="shared" ca="1" si="176"/>
        <v>2025</v>
      </c>
      <c r="D402" s="2" t="str">
        <f t="shared" ca="1" si="177"/>
        <v>outubro</v>
      </c>
      <c r="E402" s="2" t="str">
        <f t="shared" ca="1" si="178"/>
        <v>2025/10</v>
      </c>
      <c r="F402" s="14" t="str">
        <f t="shared" ca="1" si="179"/>
        <v>CLI-4992</v>
      </c>
      <c r="G402" s="2" t="str">
        <f t="shared" ca="1" si="180"/>
        <v>Lucas</v>
      </c>
      <c r="H402" s="2" t="str">
        <f t="shared" ca="1" si="181"/>
        <v>Novo</v>
      </c>
      <c r="I402" s="2" t="str">
        <f t="shared" ca="1" si="182"/>
        <v>Ricardo</v>
      </c>
      <c r="J402" s="14" t="str">
        <f t="shared" ca="1" si="183"/>
        <v>VCL-3684</v>
      </c>
      <c r="K402" s="2" t="str">
        <f t="shared" ca="1" si="184"/>
        <v>Compass</v>
      </c>
      <c r="L402" s="2" t="str">
        <f t="shared" ca="1" si="185"/>
        <v>Jeep</v>
      </c>
      <c r="M402" s="2" t="str">
        <f t="shared" ca="1" si="186"/>
        <v>SUV</v>
      </c>
      <c r="N402" s="2">
        <f t="shared" ca="1" si="187"/>
        <v>2023</v>
      </c>
      <c r="O402" s="2" t="str">
        <f t="shared" ca="1" si="188"/>
        <v>Loja</v>
      </c>
      <c r="P402" s="2" t="str">
        <f t="shared" ca="1" si="189"/>
        <v>Norte</v>
      </c>
      <c r="Q402" s="2" t="str">
        <f t="shared" ca="1" si="190"/>
        <v>PA</v>
      </c>
      <c r="R402" s="2" t="str">
        <f t="shared" ca="1" si="191"/>
        <v>Belém</v>
      </c>
      <c r="S402" s="8">
        <f t="shared" ca="1" si="192"/>
        <v>4</v>
      </c>
      <c r="T402" s="10">
        <f t="shared" ca="1" si="193"/>
        <v>186790</v>
      </c>
      <c r="U402" s="10">
        <f t="shared" ca="1" si="194"/>
        <v>136356.69999999998</v>
      </c>
      <c r="V402" s="10">
        <f t="shared" ca="1" si="195"/>
        <v>747160</v>
      </c>
      <c r="W402" s="10">
        <f t="shared" ca="1" si="196"/>
        <v>545426.79999999993</v>
      </c>
      <c r="X402" s="10">
        <f t="shared" ca="1" si="197"/>
        <v>201733.20000000007</v>
      </c>
      <c r="Y402" s="12">
        <f t="shared" ca="1" si="198"/>
        <v>0.27000000000000007</v>
      </c>
      <c r="Z402" s="2" t="str">
        <f t="shared" ca="1" si="199"/>
        <v>Cancelada</v>
      </c>
      <c r="AA402" s="8">
        <f t="shared" ca="1" si="200"/>
        <v>29</v>
      </c>
      <c r="AB402" s="2">
        <f t="shared" ca="1" si="201"/>
        <v>9</v>
      </c>
      <c r="AC402" s="2">
        <f t="shared" ca="1" si="202"/>
        <v>7</v>
      </c>
    </row>
    <row r="403" spans="1:29" x14ac:dyDescent="0.25">
      <c r="A403" s="14" t="str">
        <f t="shared" si="174"/>
        <v>VND-00403</v>
      </c>
      <c r="B403" s="5">
        <f t="shared" ca="1" si="175"/>
        <v>45901</v>
      </c>
      <c r="C403" s="2">
        <f t="shared" ca="1" si="176"/>
        <v>2025</v>
      </c>
      <c r="D403" s="2" t="str">
        <f t="shared" ca="1" si="177"/>
        <v>setembro</v>
      </c>
      <c r="E403" s="2" t="str">
        <f t="shared" ca="1" si="178"/>
        <v>2025/09</v>
      </c>
      <c r="F403" s="14" t="str">
        <f t="shared" ca="1" si="179"/>
        <v>CLI-3683</v>
      </c>
      <c r="G403" s="2" t="str">
        <f t="shared" ca="1" si="180"/>
        <v>Rafael</v>
      </c>
      <c r="H403" s="2" t="str">
        <f t="shared" ca="1" si="181"/>
        <v>Recorrente</v>
      </c>
      <c r="I403" s="2" t="str">
        <f t="shared" ca="1" si="182"/>
        <v>Carla</v>
      </c>
      <c r="J403" s="14" t="str">
        <f t="shared" ca="1" si="183"/>
        <v>VCL-1089</v>
      </c>
      <c r="K403" s="2" t="str">
        <f t="shared" ca="1" si="184"/>
        <v>Compass</v>
      </c>
      <c r="L403" s="2" t="str">
        <f t="shared" ca="1" si="185"/>
        <v>Jeep</v>
      </c>
      <c r="M403" s="2" t="str">
        <f t="shared" ca="1" si="186"/>
        <v>SUV</v>
      </c>
      <c r="N403" s="2">
        <f t="shared" ca="1" si="187"/>
        <v>2016</v>
      </c>
      <c r="O403" s="2" t="str">
        <f t="shared" ca="1" si="188"/>
        <v>Loja</v>
      </c>
      <c r="P403" s="2" t="str">
        <f t="shared" ca="1" si="189"/>
        <v>Sul</v>
      </c>
      <c r="Q403" s="2" t="str">
        <f t="shared" ca="1" si="190"/>
        <v>PR</v>
      </c>
      <c r="R403" s="2" t="str">
        <f t="shared" ca="1" si="191"/>
        <v>Londrina</v>
      </c>
      <c r="S403" s="8">
        <f t="shared" ca="1" si="192"/>
        <v>1</v>
      </c>
      <c r="T403" s="10">
        <f t="shared" ca="1" si="193"/>
        <v>160670</v>
      </c>
      <c r="U403" s="10">
        <f t="shared" ca="1" si="194"/>
        <v>123715.90000000001</v>
      </c>
      <c r="V403" s="10">
        <f t="shared" ca="1" si="195"/>
        <v>160670</v>
      </c>
      <c r="W403" s="10">
        <f t="shared" ca="1" si="196"/>
        <v>123715.90000000001</v>
      </c>
      <c r="X403" s="10">
        <f t="shared" ca="1" si="197"/>
        <v>36954.099999999991</v>
      </c>
      <c r="Y403" s="12">
        <f t="shared" ca="1" si="198"/>
        <v>0.22999999999999995</v>
      </c>
      <c r="Z403" s="2" t="str">
        <f t="shared" ca="1" si="199"/>
        <v>Concluída</v>
      </c>
      <c r="AA403" s="8">
        <f t="shared" ca="1" si="200"/>
        <v>29</v>
      </c>
      <c r="AB403" s="2">
        <f t="shared" ca="1" si="201"/>
        <v>11</v>
      </c>
      <c r="AC403" s="2">
        <f t="shared" ca="1" si="202"/>
        <v>7</v>
      </c>
    </row>
    <row r="404" spans="1:29" x14ac:dyDescent="0.25">
      <c r="A404" s="14" t="str">
        <f t="shared" si="174"/>
        <v>VND-00404</v>
      </c>
      <c r="B404" s="5">
        <f t="shared" ca="1" si="175"/>
        <v>45314</v>
      </c>
      <c r="C404" s="2">
        <f t="shared" ca="1" si="176"/>
        <v>2024</v>
      </c>
      <c r="D404" s="2" t="str">
        <f t="shared" ca="1" si="177"/>
        <v>janeiro</v>
      </c>
      <c r="E404" s="2" t="str">
        <f t="shared" ca="1" si="178"/>
        <v>2024/01</v>
      </c>
      <c r="F404" s="14" t="str">
        <f t="shared" ca="1" si="179"/>
        <v>CLI-1510</v>
      </c>
      <c r="G404" s="2" t="str">
        <f t="shared" ca="1" si="180"/>
        <v>Juliana</v>
      </c>
      <c r="H404" s="2" t="str">
        <f t="shared" ca="1" si="181"/>
        <v>Novo</v>
      </c>
      <c r="I404" s="2" t="str">
        <f t="shared" ca="1" si="182"/>
        <v>Patricia</v>
      </c>
      <c r="J404" s="14" t="str">
        <f t="shared" ca="1" si="183"/>
        <v>VCL-4774</v>
      </c>
      <c r="K404" s="2" t="str">
        <f t="shared" ca="1" si="184"/>
        <v>BMW X1</v>
      </c>
      <c r="L404" s="2" t="str">
        <f t="shared" ca="1" si="185"/>
        <v>BMW</v>
      </c>
      <c r="M404" s="2" t="str">
        <f t="shared" ca="1" si="186"/>
        <v>Luxo</v>
      </c>
      <c r="N404" s="2">
        <f t="shared" ca="1" si="187"/>
        <v>2019</v>
      </c>
      <c r="O404" s="2" t="str">
        <f t="shared" ca="1" si="188"/>
        <v>Loja</v>
      </c>
      <c r="P404" s="2" t="str">
        <f t="shared" ca="1" si="189"/>
        <v>Nordeste</v>
      </c>
      <c r="Q404" s="2" t="str">
        <f t="shared" ca="1" si="190"/>
        <v>BA</v>
      </c>
      <c r="R404" s="2" t="str">
        <f t="shared" ca="1" si="191"/>
        <v>Feira de Santana</v>
      </c>
      <c r="S404" s="8">
        <f t="shared" ca="1" si="192"/>
        <v>1</v>
      </c>
      <c r="T404" s="10">
        <f t="shared" ca="1" si="193"/>
        <v>131502</v>
      </c>
      <c r="U404" s="10">
        <f t="shared" ca="1" si="194"/>
        <v>109146.65999999999</v>
      </c>
      <c r="V404" s="10">
        <f t="shared" ca="1" si="195"/>
        <v>131502</v>
      </c>
      <c r="W404" s="10">
        <f t="shared" ca="1" si="196"/>
        <v>109146.65999999999</v>
      </c>
      <c r="X404" s="10">
        <f t="shared" ca="1" si="197"/>
        <v>22355.340000000011</v>
      </c>
      <c r="Y404" s="12">
        <f t="shared" ca="1" si="198"/>
        <v>0.1700000000000001</v>
      </c>
      <c r="Z404" s="2" t="str">
        <f t="shared" ca="1" si="199"/>
        <v>Cancelada</v>
      </c>
      <c r="AA404" s="8">
        <f t="shared" ca="1" si="200"/>
        <v>14</v>
      </c>
      <c r="AB404" s="2">
        <f t="shared" ca="1" si="201"/>
        <v>5</v>
      </c>
      <c r="AC404" s="2">
        <f t="shared" ca="1" si="202"/>
        <v>3</v>
      </c>
    </row>
    <row r="405" spans="1:29" x14ac:dyDescent="0.25">
      <c r="A405" s="14" t="str">
        <f t="shared" si="174"/>
        <v>VND-00405</v>
      </c>
      <c r="B405" s="5">
        <f t="shared" ca="1" si="175"/>
        <v>45694</v>
      </c>
      <c r="C405" s="2">
        <f t="shared" ca="1" si="176"/>
        <v>2025</v>
      </c>
      <c r="D405" s="2" t="str">
        <f t="shared" ca="1" si="177"/>
        <v>fevereiro</v>
      </c>
      <c r="E405" s="2" t="str">
        <f t="shared" ca="1" si="178"/>
        <v>2025/02</v>
      </c>
      <c r="F405" s="14" t="str">
        <f t="shared" ca="1" si="179"/>
        <v>CLI-1351</v>
      </c>
      <c r="G405" s="2" t="str">
        <f t="shared" ca="1" si="180"/>
        <v>Lucas</v>
      </c>
      <c r="H405" s="2" t="str">
        <f t="shared" ca="1" si="181"/>
        <v>Recorrente</v>
      </c>
      <c r="I405" s="2" t="str">
        <f t="shared" ca="1" si="182"/>
        <v>Rafael</v>
      </c>
      <c r="J405" s="14" t="str">
        <f t="shared" ca="1" si="183"/>
        <v>VCL-4329</v>
      </c>
      <c r="K405" s="2" t="str">
        <f t="shared" ca="1" si="184"/>
        <v>Onix</v>
      </c>
      <c r="L405" s="2" t="str">
        <f t="shared" ca="1" si="185"/>
        <v>Chevrolet</v>
      </c>
      <c r="M405" s="2" t="str">
        <f t="shared" ca="1" si="186"/>
        <v>Popular</v>
      </c>
      <c r="N405" s="2">
        <f t="shared" ca="1" si="187"/>
        <v>2020</v>
      </c>
      <c r="O405" s="2" t="str">
        <f t="shared" ca="1" si="188"/>
        <v>Loja</v>
      </c>
      <c r="P405" s="2" t="str">
        <f t="shared" ca="1" si="189"/>
        <v>Sul</v>
      </c>
      <c r="Q405" s="2" t="str">
        <f t="shared" ca="1" si="190"/>
        <v>RS</v>
      </c>
      <c r="R405" s="2" t="str">
        <f t="shared" ca="1" si="191"/>
        <v>Santa Maria</v>
      </c>
      <c r="S405" s="8">
        <f t="shared" ca="1" si="192"/>
        <v>8</v>
      </c>
      <c r="T405" s="10">
        <f t="shared" ca="1" si="193"/>
        <v>237670</v>
      </c>
      <c r="U405" s="10">
        <f t="shared" ca="1" si="194"/>
        <v>187759.30000000002</v>
      </c>
      <c r="V405" s="10">
        <f t="shared" ca="1" si="195"/>
        <v>1901360</v>
      </c>
      <c r="W405" s="10">
        <f t="shared" ca="1" si="196"/>
        <v>1502074.4000000001</v>
      </c>
      <c r="X405" s="10">
        <f t="shared" ca="1" si="197"/>
        <v>399285.59999999986</v>
      </c>
      <c r="Y405" s="12">
        <f t="shared" ca="1" si="198"/>
        <v>0.20999999999999994</v>
      </c>
      <c r="Z405" s="2" t="str">
        <f t="shared" ca="1" si="199"/>
        <v>Em negociação</v>
      </c>
      <c r="AA405" s="8">
        <f t="shared" ca="1" si="200"/>
        <v>13</v>
      </c>
      <c r="AB405" s="2">
        <f t="shared" ca="1" si="201"/>
        <v>25</v>
      </c>
      <c r="AC405" s="2">
        <f t="shared" ca="1" si="202"/>
        <v>10</v>
      </c>
    </row>
    <row r="406" spans="1:29" x14ac:dyDescent="0.25">
      <c r="A406" s="14" t="str">
        <f t="shared" si="174"/>
        <v>VND-00406</v>
      </c>
      <c r="B406" s="5">
        <f t="shared" ca="1" si="175"/>
        <v>45044</v>
      </c>
      <c r="C406" s="2">
        <f t="shared" ca="1" si="176"/>
        <v>2023</v>
      </c>
      <c r="D406" s="2" t="str">
        <f t="shared" ca="1" si="177"/>
        <v>abril</v>
      </c>
      <c r="E406" s="2" t="str">
        <f t="shared" ca="1" si="178"/>
        <v>2023/04</v>
      </c>
      <c r="F406" s="14" t="str">
        <f t="shared" ca="1" si="179"/>
        <v>CLI-9675</v>
      </c>
      <c r="G406" s="2" t="str">
        <f t="shared" ca="1" si="180"/>
        <v>Ana</v>
      </c>
      <c r="H406" s="2" t="str">
        <f t="shared" ca="1" si="181"/>
        <v>Recorrente</v>
      </c>
      <c r="I406" s="2" t="str">
        <f t="shared" ca="1" si="182"/>
        <v>Vinicius</v>
      </c>
      <c r="J406" s="14" t="str">
        <f t="shared" ca="1" si="183"/>
        <v>VCL-2747</v>
      </c>
      <c r="K406" s="2" t="str">
        <f t="shared" ca="1" si="184"/>
        <v>Compass</v>
      </c>
      <c r="L406" s="2" t="str">
        <f t="shared" ca="1" si="185"/>
        <v>Jeep</v>
      </c>
      <c r="M406" s="2" t="str">
        <f t="shared" ca="1" si="186"/>
        <v>SUV</v>
      </c>
      <c r="N406" s="2">
        <f t="shared" ca="1" si="187"/>
        <v>2019</v>
      </c>
      <c r="O406" s="2" t="str">
        <f t="shared" ca="1" si="188"/>
        <v>Loja</v>
      </c>
      <c r="P406" s="2" t="str">
        <f t="shared" ca="1" si="189"/>
        <v>Centro-Oeste</v>
      </c>
      <c r="Q406" s="2" t="str">
        <f t="shared" ca="1" si="190"/>
        <v>DF</v>
      </c>
      <c r="R406" s="2" t="str">
        <f t="shared" ca="1" si="191"/>
        <v>Ceilândia</v>
      </c>
      <c r="S406" s="8">
        <f t="shared" ca="1" si="192"/>
        <v>4</v>
      </c>
      <c r="T406" s="10">
        <f t="shared" ca="1" si="193"/>
        <v>237423</v>
      </c>
      <c r="U406" s="10">
        <f t="shared" ca="1" si="194"/>
        <v>175693.02</v>
      </c>
      <c r="V406" s="10">
        <f t="shared" ca="1" si="195"/>
        <v>949692</v>
      </c>
      <c r="W406" s="10">
        <f t="shared" ca="1" si="196"/>
        <v>702772.08</v>
      </c>
      <c r="X406" s="10">
        <f t="shared" ca="1" si="197"/>
        <v>246919.92000000004</v>
      </c>
      <c r="Y406" s="12">
        <f t="shared" ca="1" si="198"/>
        <v>0.26000000000000006</v>
      </c>
      <c r="Z406" s="2" t="str">
        <f t="shared" ca="1" si="199"/>
        <v>Cancelada</v>
      </c>
      <c r="AA406" s="8">
        <f t="shared" ca="1" si="200"/>
        <v>24</v>
      </c>
      <c r="AB406" s="2">
        <f t="shared" ca="1" si="201"/>
        <v>12</v>
      </c>
      <c r="AC406" s="2">
        <f t="shared" ca="1" si="202"/>
        <v>7</v>
      </c>
    </row>
    <row r="407" spans="1:29" x14ac:dyDescent="0.25">
      <c r="A407" s="14" t="str">
        <f t="shared" si="174"/>
        <v>VND-00407</v>
      </c>
      <c r="B407" s="5">
        <f t="shared" ca="1" si="175"/>
        <v>45141</v>
      </c>
      <c r="C407" s="2">
        <f t="shared" ca="1" si="176"/>
        <v>2023</v>
      </c>
      <c r="D407" s="2" t="str">
        <f t="shared" ca="1" si="177"/>
        <v>agosto</v>
      </c>
      <c r="E407" s="2" t="str">
        <f t="shared" ca="1" si="178"/>
        <v>2023/08</v>
      </c>
      <c r="F407" s="14" t="str">
        <f t="shared" ca="1" si="179"/>
        <v>CLI-9865</v>
      </c>
      <c r="G407" s="2" t="str">
        <f t="shared" ca="1" si="180"/>
        <v>Fernanda</v>
      </c>
      <c r="H407" s="2" t="str">
        <f t="shared" ca="1" si="181"/>
        <v>Novo</v>
      </c>
      <c r="I407" s="2" t="str">
        <f t="shared" ca="1" si="182"/>
        <v>Ricardo</v>
      </c>
      <c r="J407" s="14" t="str">
        <f t="shared" ca="1" si="183"/>
        <v>VCL-3675</v>
      </c>
      <c r="K407" s="2" t="str">
        <f t="shared" ca="1" si="184"/>
        <v>Corolla</v>
      </c>
      <c r="L407" s="2" t="str">
        <f t="shared" ca="1" si="185"/>
        <v>Toyota</v>
      </c>
      <c r="M407" s="2" t="str">
        <f t="shared" ca="1" si="186"/>
        <v>SUV</v>
      </c>
      <c r="N407" s="2">
        <f t="shared" ca="1" si="187"/>
        <v>2020</v>
      </c>
      <c r="O407" s="2" t="str">
        <f t="shared" ca="1" si="188"/>
        <v>Loja</v>
      </c>
      <c r="P407" s="2" t="str">
        <f t="shared" ca="1" si="189"/>
        <v>Norte</v>
      </c>
      <c r="Q407" s="2" t="str">
        <f t="shared" ca="1" si="190"/>
        <v>AM</v>
      </c>
      <c r="R407" s="2" t="str">
        <f t="shared" ca="1" si="191"/>
        <v>Manaus</v>
      </c>
      <c r="S407" s="8">
        <f t="shared" ca="1" si="192"/>
        <v>10</v>
      </c>
      <c r="T407" s="10">
        <f t="shared" ca="1" si="193"/>
        <v>60813</v>
      </c>
      <c r="U407" s="10">
        <f t="shared" ca="1" si="194"/>
        <v>51082.92</v>
      </c>
      <c r="V407" s="10">
        <f t="shared" ca="1" si="195"/>
        <v>608130</v>
      </c>
      <c r="W407" s="10">
        <f t="shared" ca="1" si="196"/>
        <v>510829.19999999995</v>
      </c>
      <c r="X407" s="10">
        <f t="shared" ca="1" si="197"/>
        <v>97300.800000000047</v>
      </c>
      <c r="Y407" s="12">
        <f t="shared" ca="1" si="198"/>
        <v>0.16000000000000009</v>
      </c>
      <c r="Z407" s="2" t="str">
        <f t="shared" ca="1" si="199"/>
        <v>Concluída</v>
      </c>
      <c r="AA407" s="8">
        <f t="shared" ca="1" si="200"/>
        <v>7</v>
      </c>
      <c r="AB407" s="2">
        <f t="shared" ca="1" si="201"/>
        <v>19</v>
      </c>
      <c r="AC407" s="2">
        <f t="shared" ca="1" si="202"/>
        <v>7</v>
      </c>
    </row>
    <row r="408" spans="1:29" x14ac:dyDescent="0.25">
      <c r="A408" s="14" t="str">
        <f t="shared" si="174"/>
        <v>VND-00408</v>
      </c>
      <c r="B408" s="5">
        <f t="shared" ca="1" si="175"/>
        <v>45640</v>
      </c>
      <c r="C408" s="2">
        <f t="shared" ca="1" si="176"/>
        <v>2024</v>
      </c>
      <c r="D408" s="2" t="str">
        <f t="shared" ca="1" si="177"/>
        <v>dezembro</v>
      </c>
      <c r="E408" s="2" t="str">
        <f t="shared" ca="1" si="178"/>
        <v>2024/12</v>
      </c>
      <c r="F408" s="14" t="str">
        <f t="shared" ca="1" si="179"/>
        <v>CLI-9830</v>
      </c>
      <c r="G408" s="2" t="str">
        <f t="shared" ca="1" si="180"/>
        <v>Ana</v>
      </c>
      <c r="H408" s="2" t="str">
        <f t="shared" ca="1" si="181"/>
        <v>Recorrente</v>
      </c>
      <c r="I408" s="2" t="str">
        <f t="shared" ca="1" si="182"/>
        <v>João</v>
      </c>
      <c r="J408" s="14" t="str">
        <f t="shared" ca="1" si="183"/>
        <v>VCL-6349</v>
      </c>
      <c r="K408" s="2" t="str">
        <f t="shared" ca="1" si="184"/>
        <v>Civic</v>
      </c>
      <c r="L408" s="2" t="str">
        <f t="shared" ca="1" si="185"/>
        <v>Honda</v>
      </c>
      <c r="M408" s="2" t="str">
        <f t="shared" ca="1" si="186"/>
        <v>SUV</v>
      </c>
      <c r="N408" s="2">
        <f t="shared" ca="1" si="187"/>
        <v>2021</v>
      </c>
      <c r="O408" s="2" t="str">
        <f t="shared" ca="1" si="188"/>
        <v>Online</v>
      </c>
      <c r="P408" s="2" t="str">
        <f t="shared" ca="1" si="189"/>
        <v>Sudeste</v>
      </c>
      <c r="Q408" s="2" t="str">
        <f t="shared" ca="1" si="190"/>
        <v>RJ</v>
      </c>
      <c r="R408" s="2" t="str">
        <f t="shared" ca="1" si="191"/>
        <v>Duque de Caxias</v>
      </c>
      <c r="S408" s="8">
        <f t="shared" ca="1" si="192"/>
        <v>9</v>
      </c>
      <c r="T408" s="10">
        <f t="shared" ca="1" si="193"/>
        <v>136953</v>
      </c>
      <c r="U408" s="10">
        <f t="shared" ca="1" si="194"/>
        <v>95867.099999999991</v>
      </c>
      <c r="V408" s="10">
        <f t="shared" ca="1" si="195"/>
        <v>1232577</v>
      </c>
      <c r="W408" s="10">
        <f t="shared" ca="1" si="196"/>
        <v>862803.89999999991</v>
      </c>
      <c r="X408" s="10">
        <f t="shared" ca="1" si="197"/>
        <v>369773.10000000009</v>
      </c>
      <c r="Y408" s="12">
        <f t="shared" ca="1" si="198"/>
        <v>0.3000000000000001</v>
      </c>
      <c r="Z408" s="2" t="str">
        <f t="shared" ca="1" si="199"/>
        <v>Cancelada</v>
      </c>
      <c r="AA408" s="8">
        <f t="shared" ca="1" si="200"/>
        <v>11</v>
      </c>
      <c r="AB408" s="2">
        <f t="shared" ca="1" si="201"/>
        <v>12</v>
      </c>
      <c r="AC408" s="2">
        <f t="shared" ca="1" si="202"/>
        <v>7</v>
      </c>
    </row>
    <row r="409" spans="1:29" x14ac:dyDescent="0.25">
      <c r="A409" s="14" t="str">
        <f t="shared" si="174"/>
        <v>VND-00409</v>
      </c>
      <c r="B409" s="5">
        <f t="shared" ca="1" si="175"/>
        <v>45661</v>
      </c>
      <c r="C409" s="2">
        <f t="shared" ca="1" si="176"/>
        <v>2025</v>
      </c>
      <c r="D409" s="2" t="str">
        <f t="shared" ca="1" si="177"/>
        <v>janeiro</v>
      </c>
      <c r="E409" s="2" t="str">
        <f t="shared" ca="1" si="178"/>
        <v>2025/01</v>
      </c>
      <c r="F409" s="14" t="str">
        <f t="shared" ca="1" si="179"/>
        <v>CLI-2467</v>
      </c>
      <c r="G409" s="2" t="str">
        <f t="shared" ca="1" si="180"/>
        <v>Ana</v>
      </c>
      <c r="H409" s="2" t="str">
        <f t="shared" ca="1" si="181"/>
        <v>Recorrente</v>
      </c>
      <c r="I409" s="2" t="str">
        <f t="shared" ca="1" si="182"/>
        <v>André</v>
      </c>
      <c r="J409" s="14" t="str">
        <f t="shared" ca="1" si="183"/>
        <v>VCL-9145</v>
      </c>
      <c r="K409" s="2" t="str">
        <f t="shared" ca="1" si="184"/>
        <v>HB20</v>
      </c>
      <c r="L409" s="2" t="str">
        <f t="shared" ca="1" si="185"/>
        <v>Hyundai</v>
      </c>
      <c r="M409" s="2" t="str">
        <f t="shared" ca="1" si="186"/>
        <v>Popular</v>
      </c>
      <c r="N409" s="2">
        <f t="shared" ca="1" si="187"/>
        <v>2019</v>
      </c>
      <c r="O409" s="2" t="str">
        <f t="shared" ca="1" si="188"/>
        <v>Loja</v>
      </c>
      <c r="P409" s="2" t="str">
        <f t="shared" ca="1" si="189"/>
        <v>Nordeste</v>
      </c>
      <c r="Q409" s="2" t="str">
        <f t="shared" ca="1" si="190"/>
        <v>CE</v>
      </c>
      <c r="R409" s="2" t="str">
        <f t="shared" ca="1" si="191"/>
        <v>Juazeiro do Norte</v>
      </c>
      <c r="S409" s="8">
        <f t="shared" ca="1" si="192"/>
        <v>3</v>
      </c>
      <c r="T409" s="10">
        <f t="shared" ca="1" si="193"/>
        <v>149529</v>
      </c>
      <c r="U409" s="10">
        <f t="shared" ca="1" si="194"/>
        <v>109156.17</v>
      </c>
      <c r="V409" s="10">
        <f t="shared" ca="1" si="195"/>
        <v>448587</v>
      </c>
      <c r="W409" s="10">
        <f t="shared" ca="1" si="196"/>
        <v>327468.51</v>
      </c>
      <c r="X409" s="10">
        <f t="shared" ca="1" si="197"/>
        <v>121118.48999999999</v>
      </c>
      <c r="Y409" s="12">
        <f t="shared" ca="1" si="198"/>
        <v>0.26999999999999996</v>
      </c>
      <c r="Z409" s="2" t="str">
        <f t="shared" ca="1" si="199"/>
        <v>Concluída</v>
      </c>
      <c r="AA409" s="8">
        <f t="shared" ca="1" si="200"/>
        <v>2</v>
      </c>
      <c r="AB409" s="2">
        <f t="shared" ca="1" si="201"/>
        <v>16</v>
      </c>
      <c r="AC409" s="2">
        <f t="shared" ca="1" si="202"/>
        <v>10</v>
      </c>
    </row>
    <row r="410" spans="1:29" x14ac:dyDescent="0.25">
      <c r="A410" s="14" t="str">
        <f t="shared" si="174"/>
        <v>VND-00410</v>
      </c>
      <c r="B410" s="5">
        <f t="shared" ca="1" si="175"/>
        <v>44951</v>
      </c>
      <c r="C410" s="2">
        <f t="shared" ca="1" si="176"/>
        <v>2023</v>
      </c>
      <c r="D410" s="2" t="str">
        <f t="shared" ca="1" si="177"/>
        <v>janeiro</v>
      </c>
      <c r="E410" s="2" t="str">
        <f t="shared" ca="1" si="178"/>
        <v>2023/01</v>
      </c>
      <c r="F410" s="14" t="str">
        <f t="shared" ca="1" si="179"/>
        <v>CLI-3328</v>
      </c>
      <c r="G410" s="2" t="str">
        <f t="shared" ca="1" si="180"/>
        <v>Juliana</v>
      </c>
      <c r="H410" s="2" t="str">
        <f t="shared" ca="1" si="181"/>
        <v>Recorrente</v>
      </c>
      <c r="I410" s="2" t="str">
        <f t="shared" ca="1" si="182"/>
        <v>Fernanda</v>
      </c>
      <c r="J410" s="14" t="str">
        <f t="shared" ca="1" si="183"/>
        <v>VCL-7934</v>
      </c>
      <c r="K410" s="2" t="str">
        <f t="shared" ca="1" si="184"/>
        <v>Onix</v>
      </c>
      <c r="L410" s="2" t="str">
        <f t="shared" ca="1" si="185"/>
        <v>Chevrolet</v>
      </c>
      <c r="M410" s="2" t="str">
        <f t="shared" ca="1" si="186"/>
        <v>Popular</v>
      </c>
      <c r="N410" s="2">
        <f t="shared" ca="1" si="187"/>
        <v>2022</v>
      </c>
      <c r="O410" s="2" t="str">
        <f t="shared" ca="1" si="188"/>
        <v>Online</v>
      </c>
      <c r="P410" s="2" t="str">
        <f t="shared" ca="1" si="189"/>
        <v>Nordeste</v>
      </c>
      <c r="Q410" s="2" t="str">
        <f t="shared" ca="1" si="190"/>
        <v>PE</v>
      </c>
      <c r="R410" s="2" t="str">
        <f t="shared" ca="1" si="191"/>
        <v>Petrolina</v>
      </c>
      <c r="S410" s="8">
        <f t="shared" ca="1" si="192"/>
        <v>10</v>
      </c>
      <c r="T410" s="10">
        <f t="shared" ca="1" si="193"/>
        <v>208372</v>
      </c>
      <c r="U410" s="10">
        <f t="shared" ca="1" si="194"/>
        <v>168781.32</v>
      </c>
      <c r="V410" s="10">
        <f t="shared" ca="1" si="195"/>
        <v>2083720</v>
      </c>
      <c r="W410" s="10">
        <f t="shared" ca="1" si="196"/>
        <v>1687813.2000000002</v>
      </c>
      <c r="X410" s="10">
        <f t="shared" ca="1" si="197"/>
        <v>395906.79999999981</v>
      </c>
      <c r="Y410" s="12">
        <f t="shared" ca="1" si="198"/>
        <v>0.18999999999999992</v>
      </c>
      <c r="Z410" s="2" t="str">
        <f t="shared" ca="1" si="199"/>
        <v>Cancelada</v>
      </c>
      <c r="AA410" s="8">
        <f t="shared" ca="1" si="200"/>
        <v>6</v>
      </c>
      <c r="AB410" s="2">
        <f t="shared" ca="1" si="201"/>
        <v>29</v>
      </c>
      <c r="AC410" s="2">
        <f t="shared" ca="1" si="202"/>
        <v>10</v>
      </c>
    </row>
    <row r="411" spans="1:29" x14ac:dyDescent="0.25">
      <c r="A411" s="14" t="str">
        <f t="shared" si="174"/>
        <v>VND-00411</v>
      </c>
      <c r="B411" s="5">
        <f t="shared" ca="1" si="175"/>
        <v>45631</v>
      </c>
      <c r="C411" s="2">
        <f t="shared" ca="1" si="176"/>
        <v>2024</v>
      </c>
      <c r="D411" s="2" t="str">
        <f t="shared" ca="1" si="177"/>
        <v>dezembro</v>
      </c>
      <c r="E411" s="2" t="str">
        <f t="shared" ca="1" si="178"/>
        <v>2024/12</v>
      </c>
      <c r="F411" s="14" t="str">
        <f t="shared" ca="1" si="179"/>
        <v>CLI-9718</v>
      </c>
      <c r="G411" s="2" t="str">
        <f t="shared" ca="1" si="180"/>
        <v>Fernanda</v>
      </c>
      <c r="H411" s="2" t="str">
        <f t="shared" ca="1" si="181"/>
        <v>Novo</v>
      </c>
      <c r="I411" s="2" t="str">
        <f t="shared" ca="1" si="182"/>
        <v>Marcos</v>
      </c>
      <c r="J411" s="14" t="str">
        <f t="shared" ca="1" si="183"/>
        <v>VCL-8994</v>
      </c>
      <c r="K411" s="2" t="str">
        <f t="shared" ca="1" si="184"/>
        <v>Onix</v>
      </c>
      <c r="L411" s="2" t="str">
        <f t="shared" ca="1" si="185"/>
        <v>Chevrolet</v>
      </c>
      <c r="M411" s="2" t="str">
        <f t="shared" ca="1" si="186"/>
        <v>Popular</v>
      </c>
      <c r="N411" s="2">
        <f t="shared" ca="1" si="187"/>
        <v>2022</v>
      </c>
      <c r="O411" s="2" t="str">
        <f t="shared" ca="1" si="188"/>
        <v>Loja</v>
      </c>
      <c r="P411" s="2" t="str">
        <f t="shared" ca="1" si="189"/>
        <v>Sul</v>
      </c>
      <c r="Q411" s="2" t="str">
        <f t="shared" ca="1" si="190"/>
        <v>PR</v>
      </c>
      <c r="R411" s="2" t="str">
        <f t="shared" ca="1" si="191"/>
        <v>Cascavel</v>
      </c>
      <c r="S411" s="8">
        <f t="shared" ca="1" si="192"/>
        <v>3</v>
      </c>
      <c r="T411" s="10">
        <f t="shared" ca="1" si="193"/>
        <v>159589</v>
      </c>
      <c r="U411" s="10">
        <f t="shared" ca="1" si="194"/>
        <v>116499.97</v>
      </c>
      <c r="V411" s="10">
        <f t="shared" ca="1" si="195"/>
        <v>478767</v>
      </c>
      <c r="W411" s="10">
        <f t="shared" ca="1" si="196"/>
        <v>349499.91000000003</v>
      </c>
      <c r="X411" s="10">
        <f t="shared" ca="1" si="197"/>
        <v>129267.08999999997</v>
      </c>
      <c r="Y411" s="12">
        <f t="shared" ca="1" si="198"/>
        <v>0.26999999999999991</v>
      </c>
      <c r="Z411" s="2" t="str">
        <f t="shared" ca="1" si="199"/>
        <v>Em negociação</v>
      </c>
      <c r="AA411" s="8">
        <f t="shared" ca="1" si="200"/>
        <v>11</v>
      </c>
      <c r="AB411" s="2">
        <f t="shared" ca="1" si="201"/>
        <v>21</v>
      </c>
      <c r="AC411" s="2">
        <f t="shared" ca="1" si="202"/>
        <v>10</v>
      </c>
    </row>
    <row r="412" spans="1:29" x14ac:dyDescent="0.25">
      <c r="A412" s="14" t="str">
        <f t="shared" si="174"/>
        <v>VND-00412</v>
      </c>
      <c r="B412" s="5">
        <f t="shared" ca="1" si="175"/>
        <v>45876</v>
      </c>
      <c r="C412" s="2">
        <f t="shared" ca="1" si="176"/>
        <v>2025</v>
      </c>
      <c r="D412" s="2" t="str">
        <f t="shared" ca="1" si="177"/>
        <v>agosto</v>
      </c>
      <c r="E412" s="2" t="str">
        <f t="shared" ca="1" si="178"/>
        <v>2025/08</v>
      </c>
      <c r="F412" s="14" t="str">
        <f t="shared" ca="1" si="179"/>
        <v>CLI-9763</v>
      </c>
      <c r="G412" s="2" t="str">
        <f t="shared" ca="1" si="180"/>
        <v>Maria</v>
      </c>
      <c r="H412" s="2" t="str">
        <f t="shared" ca="1" si="181"/>
        <v>Recorrente</v>
      </c>
      <c r="I412" s="2" t="str">
        <f t="shared" ca="1" si="182"/>
        <v>Diego</v>
      </c>
      <c r="J412" s="14" t="str">
        <f t="shared" ca="1" si="183"/>
        <v>VCL-3195</v>
      </c>
      <c r="K412" s="2" t="str">
        <f t="shared" ca="1" si="184"/>
        <v>Corolla</v>
      </c>
      <c r="L412" s="2" t="str">
        <f t="shared" ca="1" si="185"/>
        <v>Toyota</v>
      </c>
      <c r="M412" s="2" t="str">
        <f t="shared" ca="1" si="186"/>
        <v>SUV</v>
      </c>
      <c r="N412" s="2">
        <f t="shared" ca="1" si="187"/>
        <v>2019</v>
      </c>
      <c r="O412" s="2" t="str">
        <f t="shared" ca="1" si="188"/>
        <v>Loja</v>
      </c>
      <c r="P412" s="2" t="str">
        <f t="shared" ca="1" si="189"/>
        <v>Nordeste</v>
      </c>
      <c r="Q412" s="2" t="str">
        <f t="shared" ca="1" si="190"/>
        <v>BA</v>
      </c>
      <c r="R412" s="2" t="str">
        <f t="shared" ca="1" si="191"/>
        <v>Salvador</v>
      </c>
      <c r="S412" s="8">
        <f t="shared" ca="1" si="192"/>
        <v>6</v>
      </c>
      <c r="T412" s="10">
        <f t="shared" ca="1" si="193"/>
        <v>74780</v>
      </c>
      <c r="U412" s="10">
        <f t="shared" ca="1" si="194"/>
        <v>59824</v>
      </c>
      <c r="V412" s="10">
        <f t="shared" ca="1" si="195"/>
        <v>448680</v>
      </c>
      <c r="W412" s="10">
        <f t="shared" ca="1" si="196"/>
        <v>358944</v>
      </c>
      <c r="X412" s="10">
        <f t="shared" ca="1" si="197"/>
        <v>89736</v>
      </c>
      <c r="Y412" s="12">
        <f t="shared" ca="1" si="198"/>
        <v>0.2</v>
      </c>
      <c r="Z412" s="2" t="str">
        <f t="shared" ca="1" si="199"/>
        <v>Em negociação</v>
      </c>
      <c r="AA412" s="8">
        <f t="shared" ca="1" si="200"/>
        <v>7</v>
      </c>
      <c r="AB412" s="2">
        <f t="shared" ca="1" si="201"/>
        <v>16</v>
      </c>
      <c r="AC412" s="2">
        <f t="shared" ca="1" si="202"/>
        <v>7</v>
      </c>
    </row>
    <row r="413" spans="1:29" x14ac:dyDescent="0.25">
      <c r="A413" s="14" t="str">
        <f t="shared" si="174"/>
        <v>VND-00413</v>
      </c>
      <c r="B413" s="5">
        <f t="shared" ca="1" si="175"/>
        <v>45221</v>
      </c>
      <c r="C413" s="2">
        <f t="shared" ca="1" si="176"/>
        <v>2023</v>
      </c>
      <c r="D413" s="2" t="str">
        <f t="shared" ca="1" si="177"/>
        <v>outubro</v>
      </c>
      <c r="E413" s="2" t="str">
        <f t="shared" ca="1" si="178"/>
        <v>2023/10</v>
      </c>
      <c r="F413" s="14" t="str">
        <f t="shared" ca="1" si="179"/>
        <v>CLI-6517</v>
      </c>
      <c r="G413" s="2" t="str">
        <f t="shared" ca="1" si="180"/>
        <v>Carlos</v>
      </c>
      <c r="H413" s="2" t="str">
        <f t="shared" ca="1" si="181"/>
        <v>Novo</v>
      </c>
      <c r="I413" s="2" t="str">
        <f t="shared" ca="1" si="182"/>
        <v>João</v>
      </c>
      <c r="J413" s="14" t="str">
        <f t="shared" ca="1" si="183"/>
        <v>VCL-8759</v>
      </c>
      <c r="K413" s="2" t="str">
        <f t="shared" ca="1" si="184"/>
        <v>Onix</v>
      </c>
      <c r="L413" s="2" t="str">
        <f t="shared" ca="1" si="185"/>
        <v>Chevrolet</v>
      </c>
      <c r="M413" s="2" t="str">
        <f t="shared" ca="1" si="186"/>
        <v>Popular</v>
      </c>
      <c r="N413" s="2">
        <f t="shared" ca="1" si="187"/>
        <v>2021</v>
      </c>
      <c r="O413" s="2" t="str">
        <f t="shared" ca="1" si="188"/>
        <v>Loja</v>
      </c>
      <c r="P413" s="2" t="str">
        <f t="shared" ca="1" si="189"/>
        <v>Sudeste</v>
      </c>
      <c r="Q413" s="2" t="str">
        <f t="shared" ca="1" si="190"/>
        <v>MG</v>
      </c>
      <c r="R413" s="2" t="str">
        <f t="shared" ca="1" si="191"/>
        <v>Uberlândia</v>
      </c>
      <c r="S413" s="8">
        <f t="shared" ca="1" si="192"/>
        <v>8</v>
      </c>
      <c r="T413" s="10">
        <f t="shared" ca="1" si="193"/>
        <v>197630</v>
      </c>
      <c r="U413" s="10">
        <f t="shared" ca="1" si="194"/>
        <v>150198.79999999999</v>
      </c>
      <c r="V413" s="10">
        <f t="shared" ca="1" si="195"/>
        <v>1581040</v>
      </c>
      <c r="W413" s="10">
        <f t="shared" ca="1" si="196"/>
        <v>1201590.3999999999</v>
      </c>
      <c r="X413" s="10">
        <f t="shared" ca="1" si="197"/>
        <v>379449.60000000009</v>
      </c>
      <c r="Y413" s="12">
        <f t="shared" ca="1" si="198"/>
        <v>0.24000000000000005</v>
      </c>
      <c r="Z413" s="2" t="str">
        <f t="shared" ca="1" si="199"/>
        <v>Cancelada</v>
      </c>
      <c r="AA413" s="8">
        <f t="shared" ca="1" si="200"/>
        <v>7</v>
      </c>
      <c r="AB413" s="2">
        <f t="shared" ca="1" si="201"/>
        <v>24</v>
      </c>
      <c r="AC413" s="2">
        <f t="shared" ca="1" si="202"/>
        <v>10</v>
      </c>
    </row>
    <row r="414" spans="1:29" x14ac:dyDescent="0.25">
      <c r="A414" s="14" t="str">
        <f t="shared" si="174"/>
        <v>VND-00414</v>
      </c>
      <c r="B414" s="5">
        <f t="shared" ca="1" si="175"/>
        <v>45159</v>
      </c>
      <c r="C414" s="2">
        <f t="shared" ca="1" si="176"/>
        <v>2023</v>
      </c>
      <c r="D414" s="2" t="str">
        <f t="shared" ca="1" si="177"/>
        <v>agosto</v>
      </c>
      <c r="E414" s="2" t="str">
        <f t="shared" ca="1" si="178"/>
        <v>2023/08</v>
      </c>
      <c r="F414" s="14" t="str">
        <f t="shared" ca="1" si="179"/>
        <v>CLI-8789</v>
      </c>
      <c r="G414" s="2" t="str">
        <f t="shared" ca="1" si="180"/>
        <v>Carlos</v>
      </c>
      <c r="H414" s="2" t="str">
        <f t="shared" ca="1" si="181"/>
        <v>Novo</v>
      </c>
      <c r="I414" s="2" t="str">
        <f t="shared" ca="1" si="182"/>
        <v>Carla</v>
      </c>
      <c r="J414" s="14" t="str">
        <f t="shared" ca="1" si="183"/>
        <v>VCL-1877</v>
      </c>
      <c r="K414" s="2" t="str">
        <f t="shared" ca="1" si="184"/>
        <v>Corolla</v>
      </c>
      <c r="L414" s="2" t="str">
        <f t="shared" ca="1" si="185"/>
        <v>Toyota</v>
      </c>
      <c r="M414" s="2" t="str">
        <f t="shared" ca="1" si="186"/>
        <v>SUV</v>
      </c>
      <c r="N414" s="2">
        <f t="shared" ca="1" si="187"/>
        <v>2024</v>
      </c>
      <c r="O414" s="2" t="str">
        <f t="shared" ca="1" si="188"/>
        <v>Loja</v>
      </c>
      <c r="P414" s="2" t="str">
        <f t="shared" ca="1" si="189"/>
        <v>Sul</v>
      </c>
      <c r="Q414" s="2" t="str">
        <f t="shared" ca="1" si="190"/>
        <v>RS</v>
      </c>
      <c r="R414" s="2" t="str">
        <f t="shared" ca="1" si="191"/>
        <v>Porto Alegre</v>
      </c>
      <c r="S414" s="8">
        <f t="shared" ca="1" si="192"/>
        <v>6</v>
      </c>
      <c r="T414" s="10">
        <f t="shared" ca="1" si="193"/>
        <v>70776</v>
      </c>
      <c r="U414" s="10">
        <f t="shared" ca="1" si="194"/>
        <v>51666.479999999996</v>
      </c>
      <c r="V414" s="10">
        <f t="shared" ca="1" si="195"/>
        <v>424656</v>
      </c>
      <c r="W414" s="10">
        <f t="shared" ca="1" si="196"/>
        <v>309998.88</v>
      </c>
      <c r="X414" s="10">
        <f t="shared" ca="1" si="197"/>
        <v>114657.12</v>
      </c>
      <c r="Y414" s="12">
        <f t="shared" ca="1" si="198"/>
        <v>0.26999999999999996</v>
      </c>
      <c r="Z414" s="2" t="str">
        <f t="shared" ca="1" si="199"/>
        <v>Concluída</v>
      </c>
      <c r="AA414" s="8">
        <f t="shared" ca="1" si="200"/>
        <v>27</v>
      </c>
      <c r="AB414" s="2">
        <f t="shared" ca="1" si="201"/>
        <v>17</v>
      </c>
      <c r="AC414" s="2">
        <f t="shared" ca="1" si="202"/>
        <v>7</v>
      </c>
    </row>
    <row r="415" spans="1:29" x14ac:dyDescent="0.25">
      <c r="A415" s="14" t="str">
        <f t="shared" si="174"/>
        <v>VND-00415</v>
      </c>
      <c r="B415" s="5">
        <f t="shared" ca="1" si="175"/>
        <v>45390</v>
      </c>
      <c r="C415" s="2">
        <f t="shared" ca="1" si="176"/>
        <v>2024</v>
      </c>
      <c r="D415" s="2" t="str">
        <f t="shared" ca="1" si="177"/>
        <v>abril</v>
      </c>
      <c r="E415" s="2" t="str">
        <f t="shared" ca="1" si="178"/>
        <v>2024/04</v>
      </c>
      <c r="F415" s="14" t="str">
        <f t="shared" ca="1" si="179"/>
        <v>CLI-6208</v>
      </c>
      <c r="G415" s="2" t="str">
        <f t="shared" ca="1" si="180"/>
        <v>João</v>
      </c>
      <c r="H415" s="2" t="str">
        <f t="shared" ca="1" si="181"/>
        <v>Recorrente</v>
      </c>
      <c r="I415" s="2" t="str">
        <f t="shared" ca="1" si="182"/>
        <v>Eduardo</v>
      </c>
      <c r="J415" s="14" t="str">
        <f t="shared" ca="1" si="183"/>
        <v>VCL-3538</v>
      </c>
      <c r="K415" s="2" t="str">
        <f t="shared" ca="1" si="184"/>
        <v>Compass</v>
      </c>
      <c r="L415" s="2" t="str">
        <f t="shared" ca="1" si="185"/>
        <v>Jeep</v>
      </c>
      <c r="M415" s="2" t="str">
        <f t="shared" ca="1" si="186"/>
        <v>SUV</v>
      </c>
      <c r="N415" s="2">
        <f t="shared" ca="1" si="187"/>
        <v>2023</v>
      </c>
      <c r="O415" s="2" t="str">
        <f t="shared" ca="1" si="188"/>
        <v>Loja</v>
      </c>
      <c r="P415" s="2" t="str">
        <f t="shared" ca="1" si="189"/>
        <v>Centro-Oeste</v>
      </c>
      <c r="Q415" s="2" t="str">
        <f t="shared" ca="1" si="190"/>
        <v>DF</v>
      </c>
      <c r="R415" s="2" t="str">
        <f t="shared" ca="1" si="191"/>
        <v>Brasília</v>
      </c>
      <c r="S415" s="8">
        <f t="shared" ca="1" si="192"/>
        <v>9</v>
      </c>
      <c r="T415" s="10">
        <f t="shared" ca="1" si="193"/>
        <v>105618</v>
      </c>
      <c r="U415" s="10">
        <f t="shared" ca="1" si="194"/>
        <v>86606.76</v>
      </c>
      <c r="V415" s="10">
        <f t="shared" ca="1" si="195"/>
        <v>950562</v>
      </c>
      <c r="W415" s="10">
        <f t="shared" ca="1" si="196"/>
        <v>779460.84</v>
      </c>
      <c r="X415" s="10">
        <f t="shared" ca="1" si="197"/>
        <v>171101.16000000003</v>
      </c>
      <c r="Y415" s="12">
        <f t="shared" ca="1" si="198"/>
        <v>0.18000000000000002</v>
      </c>
      <c r="Z415" s="2" t="str">
        <f t="shared" ca="1" si="199"/>
        <v>Cancelada</v>
      </c>
      <c r="AA415" s="8">
        <f t="shared" ca="1" si="200"/>
        <v>1</v>
      </c>
      <c r="AB415" s="2">
        <f t="shared" ca="1" si="201"/>
        <v>17</v>
      </c>
      <c r="AC415" s="2">
        <f t="shared" ca="1" si="202"/>
        <v>7</v>
      </c>
    </row>
    <row r="416" spans="1:29" x14ac:dyDescent="0.25">
      <c r="A416" s="14" t="str">
        <f t="shared" si="174"/>
        <v>VND-00416</v>
      </c>
      <c r="B416" s="5">
        <f t="shared" ca="1" si="175"/>
        <v>45903</v>
      </c>
      <c r="C416" s="2">
        <f t="shared" ca="1" si="176"/>
        <v>2025</v>
      </c>
      <c r="D416" s="2" t="str">
        <f t="shared" ca="1" si="177"/>
        <v>setembro</v>
      </c>
      <c r="E416" s="2" t="str">
        <f t="shared" ca="1" si="178"/>
        <v>2025/09</v>
      </c>
      <c r="F416" s="14" t="str">
        <f t="shared" ca="1" si="179"/>
        <v>CLI-8103</v>
      </c>
      <c r="G416" s="2" t="str">
        <f t="shared" ca="1" si="180"/>
        <v>Maria</v>
      </c>
      <c r="H416" s="2" t="str">
        <f t="shared" ca="1" si="181"/>
        <v>Novo</v>
      </c>
      <c r="I416" s="2" t="str">
        <f t="shared" ca="1" si="182"/>
        <v>Lucas</v>
      </c>
      <c r="J416" s="14" t="str">
        <f t="shared" ca="1" si="183"/>
        <v>VCL-4693</v>
      </c>
      <c r="K416" s="2" t="str">
        <f t="shared" ca="1" si="184"/>
        <v>HB20</v>
      </c>
      <c r="L416" s="2" t="str">
        <f t="shared" ca="1" si="185"/>
        <v>Hyundai</v>
      </c>
      <c r="M416" s="2" t="str">
        <f t="shared" ca="1" si="186"/>
        <v>Popular</v>
      </c>
      <c r="N416" s="2">
        <f t="shared" ca="1" si="187"/>
        <v>2020</v>
      </c>
      <c r="O416" s="2" t="str">
        <f t="shared" ca="1" si="188"/>
        <v>Loja</v>
      </c>
      <c r="P416" s="2" t="str">
        <f t="shared" ca="1" si="189"/>
        <v>Sudeste</v>
      </c>
      <c r="Q416" s="2" t="str">
        <f t="shared" ca="1" si="190"/>
        <v>SP</v>
      </c>
      <c r="R416" s="2" t="str">
        <f t="shared" ca="1" si="191"/>
        <v>São Paulo</v>
      </c>
      <c r="S416" s="8">
        <f t="shared" ca="1" si="192"/>
        <v>10</v>
      </c>
      <c r="T416" s="10">
        <f t="shared" ca="1" si="193"/>
        <v>147919</v>
      </c>
      <c r="U416" s="10">
        <f t="shared" ca="1" si="194"/>
        <v>106501.68</v>
      </c>
      <c r="V416" s="10">
        <f t="shared" ca="1" si="195"/>
        <v>1479190</v>
      </c>
      <c r="W416" s="10">
        <f t="shared" ca="1" si="196"/>
        <v>1065016.7999999998</v>
      </c>
      <c r="X416" s="10">
        <f t="shared" ca="1" si="197"/>
        <v>414173.20000000019</v>
      </c>
      <c r="Y416" s="12">
        <f t="shared" ca="1" si="198"/>
        <v>0.28000000000000014</v>
      </c>
      <c r="Z416" s="2" t="str">
        <f t="shared" ca="1" si="199"/>
        <v>Concluída</v>
      </c>
      <c r="AA416" s="8">
        <f t="shared" ca="1" si="200"/>
        <v>28</v>
      </c>
      <c r="AB416" s="2">
        <f t="shared" ca="1" si="201"/>
        <v>30</v>
      </c>
      <c r="AC416" s="2">
        <f t="shared" ca="1" si="202"/>
        <v>10</v>
      </c>
    </row>
    <row r="417" spans="1:29" x14ac:dyDescent="0.25">
      <c r="A417" s="14" t="str">
        <f t="shared" si="174"/>
        <v>VND-00417</v>
      </c>
      <c r="B417" s="5">
        <f t="shared" ca="1" si="175"/>
        <v>45493</v>
      </c>
      <c r="C417" s="2">
        <f t="shared" ca="1" si="176"/>
        <v>2024</v>
      </c>
      <c r="D417" s="2" t="str">
        <f t="shared" ca="1" si="177"/>
        <v>julho</v>
      </c>
      <c r="E417" s="2" t="str">
        <f t="shared" ca="1" si="178"/>
        <v>2024/07</v>
      </c>
      <c r="F417" s="14" t="str">
        <f t="shared" ca="1" si="179"/>
        <v>CLI-5660</v>
      </c>
      <c r="G417" s="2" t="str">
        <f t="shared" ca="1" si="180"/>
        <v>Ana</v>
      </c>
      <c r="H417" s="2" t="str">
        <f t="shared" ca="1" si="181"/>
        <v>Novo</v>
      </c>
      <c r="I417" s="2" t="str">
        <f t="shared" ca="1" si="182"/>
        <v>Juliana</v>
      </c>
      <c r="J417" s="14" t="str">
        <f t="shared" ca="1" si="183"/>
        <v>VCL-6816</v>
      </c>
      <c r="K417" s="2" t="str">
        <f t="shared" ca="1" si="184"/>
        <v>BMW X1</v>
      </c>
      <c r="L417" s="2" t="str">
        <f t="shared" ca="1" si="185"/>
        <v>BMW</v>
      </c>
      <c r="M417" s="2" t="str">
        <f t="shared" ca="1" si="186"/>
        <v>Luxo</v>
      </c>
      <c r="N417" s="2">
        <f t="shared" ca="1" si="187"/>
        <v>2017</v>
      </c>
      <c r="O417" s="2" t="str">
        <f t="shared" ca="1" si="188"/>
        <v>Online</v>
      </c>
      <c r="P417" s="2" t="str">
        <f t="shared" ca="1" si="189"/>
        <v>Sul</v>
      </c>
      <c r="Q417" s="2" t="str">
        <f t="shared" ca="1" si="190"/>
        <v>PR</v>
      </c>
      <c r="R417" s="2" t="str">
        <f t="shared" ca="1" si="191"/>
        <v>Maringá</v>
      </c>
      <c r="S417" s="8">
        <f t="shared" ca="1" si="192"/>
        <v>3</v>
      </c>
      <c r="T417" s="10">
        <f t="shared" ca="1" si="193"/>
        <v>122405</v>
      </c>
      <c r="U417" s="10">
        <f t="shared" ca="1" si="194"/>
        <v>100372.09999999999</v>
      </c>
      <c r="V417" s="10">
        <f t="shared" ca="1" si="195"/>
        <v>367215</v>
      </c>
      <c r="W417" s="10">
        <f t="shared" ca="1" si="196"/>
        <v>301116.3</v>
      </c>
      <c r="X417" s="10">
        <f t="shared" ca="1" si="197"/>
        <v>66098.700000000012</v>
      </c>
      <c r="Y417" s="12">
        <f t="shared" ca="1" si="198"/>
        <v>0.18000000000000002</v>
      </c>
      <c r="Z417" s="2" t="str">
        <f t="shared" ca="1" si="199"/>
        <v>Cancelada</v>
      </c>
      <c r="AA417" s="8">
        <f t="shared" ca="1" si="200"/>
        <v>5</v>
      </c>
      <c r="AB417" s="2">
        <f t="shared" ca="1" si="201"/>
        <v>1</v>
      </c>
      <c r="AC417" s="2">
        <f t="shared" ca="1" si="202"/>
        <v>3</v>
      </c>
    </row>
    <row r="418" spans="1:29" x14ac:dyDescent="0.25">
      <c r="A418" s="14" t="str">
        <f t="shared" si="174"/>
        <v>VND-00418</v>
      </c>
      <c r="B418" s="5">
        <f t="shared" ca="1" si="175"/>
        <v>45057</v>
      </c>
      <c r="C418" s="2">
        <f t="shared" ca="1" si="176"/>
        <v>2023</v>
      </c>
      <c r="D418" s="2" t="str">
        <f t="shared" ca="1" si="177"/>
        <v>maio</v>
      </c>
      <c r="E418" s="2" t="str">
        <f t="shared" ca="1" si="178"/>
        <v>2023/05</v>
      </c>
      <c r="F418" s="14" t="str">
        <f t="shared" ca="1" si="179"/>
        <v>CLI-7700</v>
      </c>
      <c r="G418" s="2" t="str">
        <f t="shared" ca="1" si="180"/>
        <v>Rafael</v>
      </c>
      <c r="H418" s="2" t="str">
        <f t="shared" ca="1" si="181"/>
        <v>Recorrente</v>
      </c>
      <c r="I418" s="2" t="str">
        <f t="shared" ca="1" si="182"/>
        <v>Maria</v>
      </c>
      <c r="J418" s="14" t="str">
        <f t="shared" ca="1" si="183"/>
        <v>VCL-4473</v>
      </c>
      <c r="K418" s="2" t="str">
        <f t="shared" ca="1" si="184"/>
        <v>BMW X1</v>
      </c>
      <c r="L418" s="2" t="str">
        <f t="shared" ca="1" si="185"/>
        <v>BMW</v>
      </c>
      <c r="M418" s="2" t="str">
        <f t="shared" ca="1" si="186"/>
        <v>Luxo</v>
      </c>
      <c r="N418" s="2">
        <f t="shared" ca="1" si="187"/>
        <v>2017</v>
      </c>
      <c r="O418" s="2" t="str">
        <f t="shared" ca="1" si="188"/>
        <v>Loja</v>
      </c>
      <c r="P418" s="2" t="str">
        <f t="shared" ca="1" si="189"/>
        <v>Sudeste</v>
      </c>
      <c r="Q418" s="2" t="str">
        <f t="shared" ca="1" si="190"/>
        <v>ES</v>
      </c>
      <c r="R418" s="2" t="str">
        <f t="shared" ca="1" si="191"/>
        <v>Cariacica</v>
      </c>
      <c r="S418" s="8">
        <f t="shared" ca="1" si="192"/>
        <v>6</v>
      </c>
      <c r="T418" s="10">
        <f t="shared" ca="1" si="193"/>
        <v>173249</v>
      </c>
      <c r="U418" s="10">
        <f t="shared" ca="1" si="194"/>
        <v>126471.77</v>
      </c>
      <c r="V418" s="10">
        <f t="shared" ca="1" si="195"/>
        <v>1039494</v>
      </c>
      <c r="W418" s="10">
        <f t="shared" ca="1" si="196"/>
        <v>758830.62</v>
      </c>
      <c r="X418" s="10">
        <f t="shared" ca="1" si="197"/>
        <v>280663.38</v>
      </c>
      <c r="Y418" s="12">
        <f t="shared" ca="1" si="198"/>
        <v>0.27</v>
      </c>
      <c r="Z418" s="2" t="str">
        <f t="shared" ca="1" si="199"/>
        <v>Cancelada</v>
      </c>
      <c r="AA418" s="8">
        <f t="shared" ca="1" si="200"/>
        <v>7</v>
      </c>
      <c r="AB418" s="2">
        <f t="shared" ca="1" si="201"/>
        <v>3</v>
      </c>
      <c r="AC418" s="2">
        <f t="shared" ca="1" si="202"/>
        <v>3</v>
      </c>
    </row>
    <row r="419" spans="1:29" x14ac:dyDescent="0.25">
      <c r="A419" s="14" t="str">
        <f t="shared" si="174"/>
        <v>VND-00419</v>
      </c>
      <c r="B419" s="5">
        <f t="shared" ca="1" si="175"/>
        <v>45548</v>
      </c>
      <c r="C419" s="2">
        <f t="shared" ca="1" si="176"/>
        <v>2024</v>
      </c>
      <c r="D419" s="2" t="str">
        <f t="shared" ca="1" si="177"/>
        <v>setembro</v>
      </c>
      <c r="E419" s="2" t="str">
        <f t="shared" ca="1" si="178"/>
        <v>2024/09</v>
      </c>
      <c r="F419" s="14" t="str">
        <f t="shared" ca="1" si="179"/>
        <v>CLI-3122</v>
      </c>
      <c r="G419" s="2" t="str">
        <f t="shared" ca="1" si="180"/>
        <v>João</v>
      </c>
      <c r="H419" s="2" t="str">
        <f t="shared" ca="1" si="181"/>
        <v>Novo</v>
      </c>
      <c r="I419" s="2" t="str">
        <f t="shared" ca="1" si="182"/>
        <v>Pedro</v>
      </c>
      <c r="J419" s="14" t="str">
        <f t="shared" ca="1" si="183"/>
        <v>VCL-2131</v>
      </c>
      <c r="K419" s="2" t="str">
        <f t="shared" ca="1" si="184"/>
        <v>Onix</v>
      </c>
      <c r="L419" s="2" t="str">
        <f t="shared" ca="1" si="185"/>
        <v>Chevrolet</v>
      </c>
      <c r="M419" s="2" t="str">
        <f t="shared" ca="1" si="186"/>
        <v>Popular</v>
      </c>
      <c r="N419" s="2">
        <f t="shared" ca="1" si="187"/>
        <v>2020</v>
      </c>
      <c r="O419" s="2" t="str">
        <f t="shared" ca="1" si="188"/>
        <v>Online</v>
      </c>
      <c r="P419" s="2" t="str">
        <f t="shared" ca="1" si="189"/>
        <v>Sudeste</v>
      </c>
      <c r="Q419" s="2" t="str">
        <f t="shared" ca="1" si="190"/>
        <v>MG</v>
      </c>
      <c r="R419" s="2" t="str">
        <f t="shared" ca="1" si="191"/>
        <v>Belo Horizonte</v>
      </c>
      <c r="S419" s="8">
        <f t="shared" ca="1" si="192"/>
        <v>7</v>
      </c>
      <c r="T419" s="10">
        <f t="shared" ca="1" si="193"/>
        <v>84084</v>
      </c>
      <c r="U419" s="10">
        <f t="shared" ca="1" si="194"/>
        <v>63903.840000000004</v>
      </c>
      <c r="V419" s="10">
        <f t="shared" ca="1" si="195"/>
        <v>588588</v>
      </c>
      <c r="W419" s="10">
        <f t="shared" ca="1" si="196"/>
        <v>447326.88</v>
      </c>
      <c r="X419" s="10">
        <f t="shared" ca="1" si="197"/>
        <v>141261.12</v>
      </c>
      <c r="Y419" s="12">
        <f t="shared" ca="1" si="198"/>
        <v>0.24</v>
      </c>
      <c r="Z419" s="2" t="str">
        <f t="shared" ca="1" si="199"/>
        <v>Concluída</v>
      </c>
      <c r="AA419" s="8">
        <f t="shared" ca="1" si="200"/>
        <v>23</v>
      </c>
      <c r="AB419" s="2">
        <f t="shared" ca="1" si="201"/>
        <v>22</v>
      </c>
      <c r="AC419" s="2">
        <f t="shared" ca="1" si="202"/>
        <v>10</v>
      </c>
    </row>
    <row r="420" spans="1:29" x14ac:dyDescent="0.25">
      <c r="A420" s="14" t="str">
        <f t="shared" si="174"/>
        <v>VND-00420</v>
      </c>
      <c r="B420" s="5">
        <f t="shared" ca="1" si="175"/>
        <v>45998</v>
      </c>
      <c r="C420" s="2">
        <f t="shared" ca="1" si="176"/>
        <v>2025</v>
      </c>
      <c r="D420" s="2" t="str">
        <f t="shared" ca="1" si="177"/>
        <v>dezembro</v>
      </c>
      <c r="E420" s="2" t="str">
        <f t="shared" ca="1" si="178"/>
        <v>2025/12</v>
      </c>
      <c r="F420" s="14" t="str">
        <f t="shared" ca="1" si="179"/>
        <v>CLI-4645</v>
      </c>
      <c r="G420" s="2" t="str">
        <f t="shared" ca="1" si="180"/>
        <v>Carlos</v>
      </c>
      <c r="H420" s="2" t="str">
        <f t="shared" ca="1" si="181"/>
        <v>Recorrente</v>
      </c>
      <c r="I420" s="2" t="str">
        <f t="shared" ca="1" si="182"/>
        <v>Gustavo</v>
      </c>
      <c r="J420" s="14" t="str">
        <f t="shared" ca="1" si="183"/>
        <v>VCL-4407</v>
      </c>
      <c r="K420" s="2" t="str">
        <f t="shared" ca="1" si="184"/>
        <v>Onix</v>
      </c>
      <c r="L420" s="2" t="str">
        <f t="shared" ca="1" si="185"/>
        <v>Chevrolet</v>
      </c>
      <c r="M420" s="2" t="str">
        <f t="shared" ca="1" si="186"/>
        <v>Popular</v>
      </c>
      <c r="N420" s="2">
        <f t="shared" ca="1" si="187"/>
        <v>2024</v>
      </c>
      <c r="O420" s="2" t="str">
        <f t="shared" ca="1" si="188"/>
        <v>Loja</v>
      </c>
      <c r="P420" s="2" t="str">
        <f t="shared" ca="1" si="189"/>
        <v>Centro-Oeste</v>
      </c>
      <c r="Q420" s="2" t="str">
        <f t="shared" ca="1" si="190"/>
        <v>GO</v>
      </c>
      <c r="R420" s="2" t="str">
        <f t="shared" ca="1" si="191"/>
        <v>Rio Verde</v>
      </c>
      <c r="S420" s="8">
        <f t="shared" ca="1" si="192"/>
        <v>7</v>
      </c>
      <c r="T420" s="10">
        <f t="shared" ca="1" si="193"/>
        <v>134115</v>
      </c>
      <c r="U420" s="10">
        <f t="shared" ca="1" si="194"/>
        <v>111315.45</v>
      </c>
      <c r="V420" s="10">
        <f t="shared" ca="1" si="195"/>
        <v>938805</v>
      </c>
      <c r="W420" s="10">
        <f t="shared" ca="1" si="196"/>
        <v>779208.15</v>
      </c>
      <c r="X420" s="10">
        <f t="shared" ca="1" si="197"/>
        <v>159596.84999999998</v>
      </c>
      <c r="Y420" s="12">
        <f t="shared" ca="1" si="198"/>
        <v>0.16999999999999998</v>
      </c>
      <c r="Z420" s="2" t="str">
        <f t="shared" ca="1" si="199"/>
        <v>Concluída</v>
      </c>
      <c r="AA420" s="8">
        <f t="shared" ca="1" si="200"/>
        <v>30</v>
      </c>
      <c r="AB420" s="2">
        <f t="shared" ca="1" si="201"/>
        <v>25</v>
      </c>
      <c r="AC420" s="2">
        <f t="shared" ca="1" si="202"/>
        <v>10</v>
      </c>
    </row>
    <row r="421" spans="1:29" x14ac:dyDescent="0.25">
      <c r="A421" s="14" t="str">
        <f t="shared" si="174"/>
        <v>VND-00421</v>
      </c>
      <c r="B421" s="5">
        <f t="shared" ca="1" si="175"/>
        <v>45001</v>
      </c>
      <c r="C421" s="2">
        <f t="shared" ca="1" si="176"/>
        <v>2023</v>
      </c>
      <c r="D421" s="2" t="str">
        <f t="shared" ca="1" si="177"/>
        <v>março</v>
      </c>
      <c r="E421" s="2" t="str">
        <f t="shared" ca="1" si="178"/>
        <v>2023/03</v>
      </c>
      <c r="F421" s="14" t="str">
        <f t="shared" ca="1" si="179"/>
        <v>CLI-5626</v>
      </c>
      <c r="G421" s="2" t="str">
        <f t="shared" ca="1" si="180"/>
        <v>Ana</v>
      </c>
      <c r="H421" s="2" t="str">
        <f t="shared" ca="1" si="181"/>
        <v>Recorrente</v>
      </c>
      <c r="I421" s="2" t="str">
        <f t="shared" ca="1" si="182"/>
        <v>Bruno</v>
      </c>
      <c r="J421" s="14" t="str">
        <f t="shared" ca="1" si="183"/>
        <v>VCL-3082</v>
      </c>
      <c r="K421" s="2" t="str">
        <f t="shared" ca="1" si="184"/>
        <v>Onix</v>
      </c>
      <c r="L421" s="2" t="str">
        <f t="shared" ca="1" si="185"/>
        <v>Chevrolet</v>
      </c>
      <c r="M421" s="2" t="str">
        <f t="shared" ca="1" si="186"/>
        <v>Popular</v>
      </c>
      <c r="N421" s="2">
        <f t="shared" ca="1" si="187"/>
        <v>2022</v>
      </c>
      <c r="O421" s="2" t="str">
        <f t="shared" ca="1" si="188"/>
        <v>Loja</v>
      </c>
      <c r="P421" s="2" t="str">
        <f t="shared" ca="1" si="189"/>
        <v>Sul</v>
      </c>
      <c r="Q421" s="2" t="str">
        <f t="shared" ca="1" si="190"/>
        <v>RS</v>
      </c>
      <c r="R421" s="2" t="str">
        <f t="shared" ca="1" si="191"/>
        <v>Pelotas</v>
      </c>
      <c r="S421" s="8">
        <f t="shared" ca="1" si="192"/>
        <v>8</v>
      </c>
      <c r="T421" s="10">
        <f t="shared" ca="1" si="193"/>
        <v>113127</v>
      </c>
      <c r="U421" s="10">
        <f t="shared" ca="1" si="194"/>
        <v>87107.790000000008</v>
      </c>
      <c r="V421" s="10">
        <f t="shared" ca="1" si="195"/>
        <v>905016</v>
      </c>
      <c r="W421" s="10">
        <f t="shared" ca="1" si="196"/>
        <v>696862.32000000007</v>
      </c>
      <c r="X421" s="10">
        <f t="shared" ca="1" si="197"/>
        <v>208153.67999999993</v>
      </c>
      <c r="Y421" s="12">
        <f t="shared" ca="1" si="198"/>
        <v>0.22999999999999993</v>
      </c>
      <c r="Z421" s="2" t="str">
        <f t="shared" ca="1" si="199"/>
        <v>Concluída</v>
      </c>
      <c r="AA421" s="8">
        <f t="shared" ca="1" si="200"/>
        <v>29</v>
      </c>
      <c r="AB421" s="2">
        <f t="shared" ca="1" si="201"/>
        <v>30</v>
      </c>
      <c r="AC421" s="2">
        <f t="shared" ca="1" si="202"/>
        <v>10</v>
      </c>
    </row>
    <row r="422" spans="1:29" x14ac:dyDescent="0.25">
      <c r="A422" s="14" t="str">
        <f t="shared" si="174"/>
        <v>VND-00422</v>
      </c>
      <c r="B422" s="5">
        <f t="shared" ca="1" si="175"/>
        <v>45753</v>
      </c>
      <c r="C422" s="2">
        <f t="shared" ca="1" si="176"/>
        <v>2025</v>
      </c>
      <c r="D422" s="2" t="str">
        <f t="shared" ca="1" si="177"/>
        <v>abril</v>
      </c>
      <c r="E422" s="2" t="str">
        <f t="shared" ca="1" si="178"/>
        <v>2025/04</v>
      </c>
      <c r="F422" s="14" t="str">
        <f t="shared" ca="1" si="179"/>
        <v>CLI-6290</v>
      </c>
      <c r="G422" s="2" t="str">
        <f t="shared" ca="1" si="180"/>
        <v>João</v>
      </c>
      <c r="H422" s="2" t="str">
        <f t="shared" ca="1" si="181"/>
        <v>Novo</v>
      </c>
      <c r="I422" s="2" t="str">
        <f t="shared" ca="1" si="182"/>
        <v>Vinicius</v>
      </c>
      <c r="J422" s="14" t="str">
        <f t="shared" ca="1" si="183"/>
        <v>VCL-3832</v>
      </c>
      <c r="K422" s="2" t="str">
        <f t="shared" ca="1" si="184"/>
        <v>Compass</v>
      </c>
      <c r="L422" s="2" t="str">
        <f t="shared" ca="1" si="185"/>
        <v>Jeep</v>
      </c>
      <c r="M422" s="2" t="str">
        <f t="shared" ca="1" si="186"/>
        <v>SUV</v>
      </c>
      <c r="N422" s="2">
        <f t="shared" ca="1" si="187"/>
        <v>2022</v>
      </c>
      <c r="O422" s="2" t="str">
        <f t="shared" ca="1" si="188"/>
        <v>Loja</v>
      </c>
      <c r="P422" s="2" t="str">
        <f t="shared" ca="1" si="189"/>
        <v>Centro-Oeste</v>
      </c>
      <c r="Q422" s="2" t="str">
        <f t="shared" ca="1" si="190"/>
        <v>MT</v>
      </c>
      <c r="R422" s="2" t="str">
        <f t="shared" ca="1" si="191"/>
        <v>Rondonópolis</v>
      </c>
      <c r="S422" s="8">
        <f t="shared" ca="1" si="192"/>
        <v>4</v>
      </c>
      <c r="T422" s="10">
        <f t="shared" ca="1" si="193"/>
        <v>181443</v>
      </c>
      <c r="U422" s="10">
        <f t="shared" ca="1" si="194"/>
        <v>150597.69</v>
      </c>
      <c r="V422" s="10">
        <f t="shared" ca="1" si="195"/>
        <v>725772</v>
      </c>
      <c r="W422" s="10">
        <f t="shared" ca="1" si="196"/>
        <v>602390.76</v>
      </c>
      <c r="X422" s="10">
        <f t="shared" ca="1" si="197"/>
        <v>123381.23999999999</v>
      </c>
      <c r="Y422" s="12">
        <f t="shared" ca="1" si="198"/>
        <v>0.16999999999999998</v>
      </c>
      <c r="Z422" s="2" t="str">
        <f t="shared" ca="1" si="199"/>
        <v>Em negociação</v>
      </c>
      <c r="AA422" s="8">
        <f t="shared" ca="1" si="200"/>
        <v>2</v>
      </c>
      <c r="AB422" s="2">
        <f t="shared" ca="1" si="201"/>
        <v>17</v>
      </c>
      <c r="AC422" s="2">
        <f t="shared" ca="1" si="202"/>
        <v>7</v>
      </c>
    </row>
    <row r="423" spans="1:29" x14ac:dyDescent="0.25">
      <c r="A423" s="14" t="str">
        <f t="shared" si="174"/>
        <v>VND-00423</v>
      </c>
      <c r="B423" s="5">
        <f t="shared" ca="1" si="175"/>
        <v>45507</v>
      </c>
      <c r="C423" s="2">
        <f t="shared" ca="1" si="176"/>
        <v>2024</v>
      </c>
      <c r="D423" s="2" t="str">
        <f t="shared" ca="1" si="177"/>
        <v>agosto</v>
      </c>
      <c r="E423" s="2" t="str">
        <f t="shared" ca="1" si="178"/>
        <v>2024/08</v>
      </c>
      <c r="F423" s="14" t="str">
        <f t="shared" ca="1" si="179"/>
        <v>CLI-8193</v>
      </c>
      <c r="G423" s="2" t="str">
        <f t="shared" ca="1" si="180"/>
        <v>Ana</v>
      </c>
      <c r="H423" s="2" t="str">
        <f t="shared" ca="1" si="181"/>
        <v>Recorrente</v>
      </c>
      <c r="I423" s="2" t="str">
        <f t="shared" ca="1" si="182"/>
        <v>Felipe</v>
      </c>
      <c r="J423" s="14" t="str">
        <f t="shared" ca="1" si="183"/>
        <v>VCL-5827</v>
      </c>
      <c r="K423" s="2" t="str">
        <f t="shared" ca="1" si="184"/>
        <v>BMW X1</v>
      </c>
      <c r="L423" s="2" t="str">
        <f t="shared" ca="1" si="185"/>
        <v>BMW</v>
      </c>
      <c r="M423" s="2" t="str">
        <f t="shared" ca="1" si="186"/>
        <v>Luxo</v>
      </c>
      <c r="N423" s="2">
        <f t="shared" ca="1" si="187"/>
        <v>2023</v>
      </c>
      <c r="O423" s="2" t="str">
        <f t="shared" ca="1" si="188"/>
        <v>Loja</v>
      </c>
      <c r="P423" s="2" t="str">
        <f t="shared" ca="1" si="189"/>
        <v>Norte</v>
      </c>
      <c r="Q423" s="2" t="str">
        <f t="shared" ca="1" si="190"/>
        <v>AM</v>
      </c>
      <c r="R423" s="2" t="str">
        <f t="shared" ca="1" si="191"/>
        <v>Manacapuru</v>
      </c>
      <c r="S423" s="8">
        <f t="shared" ca="1" si="192"/>
        <v>2</v>
      </c>
      <c r="T423" s="10">
        <f t="shared" ca="1" si="193"/>
        <v>101202</v>
      </c>
      <c r="U423" s="10">
        <f t="shared" ca="1" si="194"/>
        <v>85009.68</v>
      </c>
      <c r="V423" s="10">
        <f t="shared" ca="1" si="195"/>
        <v>202404</v>
      </c>
      <c r="W423" s="10">
        <f t="shared" ca="1" si="196"/>
        <v>170019.36</v>
      </c>
      <c r="X423" s="10">
        <f t="shared" ca="1" si="197"/>
        <v>32384.640000000014</v>
      </c>
      <c r="Y423" s="12">
        <f t="shared" ca="1" si="198"/>
        <v>0.16000000000000006</v>
      </c>
      <c r="Z423" s="2" t="str">
        <f t="shared" ca="1" si="199"/>
        <v>Cancelada</v>
      </c>
      <c r="AA423" s="8">
        <f t="shared" ca="1" si="200"/>
        <v>22</v>
      </c>
      <c r="AB423" s="2">
        <f t="shared" ca="1" si="201"/>
        <v>8</v>
      </c>
      <c r="AC423" s="2">
        <f t="shared" ca="1" si="202"/>
        <v>3</v>
      </c>
    </row>
    <row r="424" spans="1:29" x14ac:dyDescent="0.25">
      <c r="A424" s="14" t="str">
        <f t="shared" si="174"/>
        <v>VND-00424</v>
      </c>
      <c r="B424" s="5">
        <f t="shared" ca="1" si="175"/>
        <v>45620</v>
      </c>
      <c r="C424" s="2">
        <f t="shared" ca="1" si="176"/>
        <v>2024</v>
      </c>
      <c r="D424" s="2" t="str">
        <f t="shared" ca="1" si="177"/>
        <v>novembro</v>
      </c>
      <c r="E424" s="2" t="str">
        <f t="shared" ca="1" si="178"/>
        <v>2024/11</v>
      </c>
      <c r="F424" s="14" t="str">
        <f t="shared" ca="1" si="179"/>
        <v>CLI-2297</v>
      </c>
      <c r="G424" s="2" t="str">
        <f t="shared" ca="1" si="180"/>
        <v>Juliana</v>
      </c>
      <c r="H424" s="2" t="str">
        <f t="shared" ca="1" si="181"/>
        <v>Novo</v>
      </c>
      <c r="I424" s="2" t="str">
        <f t="shared" ca="1" si="182"/>
        <v>Gustavo</v>
      </c>
      <c r="J424" s="14" t="str">
        <f t="shared" ca="1" si="183"/>
        <v>VCL-3266</v>
      </c>
      <c r="K424" s="2" t="str">
        <f t="shared" ca="1" si="184"/>
        <v>BMW X1</v>
      </c>
      <c r="L424" s="2" t="str">
        <f t="shared" ca="1" si="185"/>
        <v>BMW</v>
      </c>
      <c r="M424" s="2" t="str">
        <f t="shared" ca="1" si="186"/>
        <v>Luxo</v>
      </c>
      <c r="N424" s="2">
        <f t="shared" ca="1" si="187"/>
        <v>2023</v>
      </c>
      <c r="O424" s="2" t="str">
        <f t="shared" ca="1" si="188"/>
        <v>Loja</v>
      </c>
      <c r="P424" s="2" t="str">
        <f t="shared" ca="1" si="189"/>
        <v>Centro-Oeste</v>
      </c>
      <c r="Q424" s="2" t="str">
        <f t="shared" ca="1" si="190"/>
        <v>GO</v>
      </c>
      <c r="R424" s="2" t="str">
        <f t="shared" ca="1" si="191"/>
        <v>Anápolis</v>
      </c>
      <c r="S424" s="8">
        <f t="shared" ca="1" si="192"/>
        <v>2</v>
      </c>
      <c r="T424" s="10">
        <f t="shared" ca="1" si="193"/>
        <v>99864</v>
      </c>
      <c r="U424" s="10">
        <f t="shared" ca="1" si="194"/>
        <v>82887.12</v>
      </c>
      <c r="V424" s="10">
        <f t="shared" ca="1" si="195"/>
        <v>199728</v>
      </c>
      <c r="W424" s="10">
        <f t="shared" ca="1" si="196"/>
        <v>165774.24</v>
      </c>
      <c r="X424" s="10">
        <f t="shared" ca="1" si="197"/>
        <v>33953.760000000009</v>
      </c>
      <c r="Y424" s="12">
        <f t="shared" ca="1" si="198"/>
        <v>0.17000000000000004</v>
      </c>
      <c r="Z424" s="2" t="str">
        <f t="shared" ca="1" si="199"/>
        <v>Cancelada</v>
      </c>
      <c r="AA424" s="8">
        <f t="shared" ca="1" si="200"/>
        <v>12</v>
      </c>
      <c r="AB424" s="2">
        <f t="shared" ca="1" si="201"/>
        <v>6</v>
      </c>
      <c r="AC424" s="2">
        <f t="shared" ca="1" si="202"/>
        <v>3</v>
      </c>
    </row>
    <row r="425" spans="1:29" x14ac:dyDescent="0.25">
      <c r="A425" s="14" t="str">
        <f t="shared" si="174"/>
        <v>VND-00425</v>
      </c>
      <c r="B425" s="5">
        <f t="shared" ca="1" si="175"/>
        <v>45521</v>
      </c>
      <c r="C425" s="2">
        <f t="shared" ca="1" si="176"/>
        <v>2024</v>
      </c>
      <c r="D425" s="2" t="str">
        <f t="shared" ca="1" si="177"/>
        <v>agosto</v>
      </c>
      <c r="E425" s="2" t="str">
        <f t="shared" ca="1" si="178"/>
        <v>2024/08</v>
      </c>
      <c r="F425" s="14" t="str">
        <f t="shared" ca="1" si="179"/>
        <v>CLI-2208</v>
      </c>
      <c r="G425" s="2" t="str">
        <f t="shared" ca="1" si="180"/>
        <v>Fernanda</v>
      </c>
      <c r="H425" s="2" t="str">
        <f t="shared" ca="1" si="181"/>
        <v>Novo</v>
      </c>
      <c r="I425" s="2" t="str">
        <f t="shared" ca="1" si="182"/>
        <v>Juliana</v>
      </c>
      <c r="J425" s="14" t="str">
        <f t="shared" ca="1" si="183"/>
        <v>VCL-9277</v>
      </c>
      <c r="K425" s="2" t="str">
        <f t="shared" ca="1" si="184"/>
        <v>Compass</v>
      </c>
      <c r="L425" s="2" t="str">
        <f t="shared" ca="1" si="185"/>
        <v>Jeep</v>
      </c>
      <c r="M425" s="2" t="str">
        <f t="shared" ca="1" si="186"/>
        <v>SUV</v>
      </c>
      <c r="N425" s="2">
        <f t="shared" ca="1" si="187"/>
        <v>2024</v>
      </c>
      <c r="O425" s="2" t="str">
        <f t="shared" ca="1" si="188"/>
        <v>Online</v>
      </c>
      <c r="P425" s="2" t="str">
        <f t="shared" ca="1" si="189"/>
        <v>Sul</v>
      </c>
      <c r="Q425" s="2" t="str">
        <f t="shared" ca="1" si="190"/>
        <v>RS</v>
      </c>
      <c r="R425" s="2" t="str">
        <f t="shared" ca="1" si="191"/>
        <v>Canoas</v>
      </c>
      <c r="S425" s="8">
        <f t="shared" ca="1" si="192"/>
        <v>5</v>
      </c>
      <c r="T425" s="10">
        <f t="shared" ca="1" si="193"/>
        <v>217120</v>
      </c>
      <c r="U425" s="10">
        <f t="shared" ca="1" si="194"/>
        <v>160668.79999999999</v>
      </c>
      <c r="V425" s="10">
        <f t="shared" ca="1" si="195"/>
        <v>1085600</v>
      </c>
      <c r="W425" s="10">
        <f t="shared" ca="1" si="196"/>
        <v>803344</v>
      </c>
      <c r="X425" s="10">
        <f t="shared" ca="1" si="197"/>
        <v>282256</v>
      </c>
      <c r="Y425" s="12">
        <f t="shared" ca="1" si="198"/>
        <v>0.26</v>
      </c>
      <c r="Z425" s="2" t="str">
        <f t="shared" ca="1" si="199"/>
        <v>Cancelada</v>
      </c>
      <c r="AA425" s="8">
        <f t="shared" ca="1" si="200"/>
        <v>14</v>
      </c>
      <c r="AB425" s="2">
        <f t="shared" ca="1" si="201"/>
        <v>8</v>
      </c>
      <c r="AC425" s="2">
        <f t="shared" ca="1" si="202"/>
        <v>7</v>
      </c>
    </row>
    <row r="426" spans="1:29" x14ac:dyDescent="0.25">
      <c r="A426" s="14" t="str">
        <f t="shared" si="174"/>
        <v>VND-00426</v>
      </c>
      <c r="B426" s="5">
        <f t="shared" ca="1" si="175"/>
        <v>45222</v>
      </c>
      <c r="C426" s="2">
        <f t="shared" ca="1" si="176"/>
        <v>2023</v>
      </c>
      <c r="D426" s="2" t="str">
        <f t="shared" ca="1" si="177"/>
        <v>outubro</v>
      </c>
      <c r="E426" s="2" t="str">
        <f t="shared" ca="1" si="178"/>
        <v>2023/10</v>
      </c>
      <c r="F426" s="14" t="str">
        <f t="shared" ca="1" si="179"/>
        <v>CLI-3767</v>
      </c>
      <c r="G426" s="2" t="str">
        <f t="shared" ca="1" si="180"/>
        <v>Ana</v>
      </c>
      <c r="H426" s="2" t="str">
        <f t="shared" ca="1" si="181"/>
        <v>Novo</v>
      </c>
      <c r="I426" s="2" t="str">
        <f t="shared" ca="1" si="182"/>
        <v>Maria</v>
      </c>
      <c r="J426" s="14" t="str">
        <f t="shared" ca="1" si="183"/>
        <v>VCL-8613</v>
      </c>
      <c r="K426" s="2" t="str">
        <f t="shared" ca="1" si="184"/>
        <v>HB20</v>
      </c>
      <c r="L426" s="2" t="str">
        <f t="shared" ca="1" si="185"/>
        <v>Hyundai</v>
      </c>
      <c r="M426" s="2" t="str">
        <f t="shared" ca="1" si="186"/>
        <v>Popular</v>
      </c>
      <c r="N426" s="2">
        <f t="shared" ca="1" si="187"/>
        <v>2016</v>
      </c>
      <c r="O426" s="2" t="str">
        <f t="shared" ca="1" si="188"/>
        <v>Online</v>
      </c>
      <c r="P426" s="2" t="str">
        <f t="shared" ca="1" si="189"/>
        <v>Sudeste</v>
      </c>
      <c r="Q426" s="2" t="str">
        <f t="shared" ca="1" si="190"/>
        <v>RJ</v>
      </c>
      <c r="R426" s="2" t="str">
        <f t="shared" ca="1" si="191"/>
        <v>Nova Iguaçu</v>
      </c>
      <c r="S426" s="8">
        <f t="shared" ca="1" si="192"/>
        <v>6</v>
      </c>
      <c r="T426" s="10">
        <f t="shared" ca="1" si="193"/>
        <v>89059</v>
      </c>
      <c r="U426" s="10">
        <f t="shared" ca="1" si="194"/>
        <v>66794.25</v>
      </c>
      <c r="V426" s="10">
        <f t="shared" ca="1" si="195"/>
        <v>534354</v>
      </c>
      <c r="W426" s="10">
        <f t="shared" ca="1" si="196"/>
        <v>400765.5</v>
      </c>
      <c r="X426" s="10">
        <f t="shared" ca="1" si="197"/>
        <v>133588.5</v>
      </c>
      <c r="Y426" s="12">
        <f t="shared" ca="1" si="198"/>
        <v>0.25</v>
      </c>
      <c r="Z426" s="2" t="str">
        <f t="shared" ca="1" si="199"/>
        <v>Concluída</v>
      </c>
      <c r="AA426" s="8">
        <f t="shared" ca="1" si="200"/>
        <v>24</v>
      </c>
      <c r="AB426" s="2">
        <f t="shared" ca="1" si="201"/>
        <v>19</v>
      </c>
      <c r="AC426" s="2">
        <f t="shared" ca="1" si="202"/>
        <v>10</v>
      </c>
    </row>
    <row r="427" spans="1:29" x14ac:dyDescent="0.25">
      <c r="A427" s="14" t="str">
        <f t="shared" si="174"/>
        <v>VND-00427</v>
      </c>
      <c r="B427" s="5">
        <f t="shared" ca="1" si="175"/>
        <v>45130</v>
      </c>
      <c r="C427" s="2">
        <f t="shared" ca="1" si="176"/>
        <v>2023</v>
      </c>
      <c r="D427" s="2" t="str">
        <f t="shared" ca="1" si="177"/>
        <v>julho</v>
      </c>
      <c r="E427" s="2" t="str">
        <f t="shared" ca="1" si="178"/>
        <v>2023/07</v>
      </c>
      <c r="F427" s="14" t="str">
        <f t="shared" ca="1" si="179"/>
        <v>CLI-6641</v>
      </c>
      <c r="G427" s="2" t="str">
        <f t="shared" ca="1" si="180"/>
        <v>João</v>
      </c>
      <c r="H427" s="2" t="str">
        <f t="shared" ca="1" si="181"/>
        <v>Novo</v>
      </c>
      <c r="I427" s="2" t="str">
        <f t="shared" ca="1" si="182"/>
        <v>Gustavo</v>
      </c>
      <c r="J427" s="14" t="str">
        <f t="shared" ca="1" si="183"/>
        <v>VCL-6497</v>
      </c>
      <c r="K427" s="2" t="str">
        <f t="shared" ca="1" si="184"/>
        <v>Onix</v>
      </c>
      <c r="L427" s="2" t="str">
        <f t="shared" ca="1" si="185"/>
        <v>Chevrolet</v>
      </c>
      <c r="M427" s="2" t="str">
        <f t="shared" ca="1" si="186"/>
        <v>Popular</v>
      </c>
      <c r="N427" s="2">
        <f t="shared" ca="1" si="187"/>
        <v>2023</v>
      </c>
      <c r="O427" s="2" t="str">
        <f t="shared" ca="1" si="188"/>
        <v>Loja</v>
      </c>
      <c r="P427" s="2" t="str">
        <f t="shared" ca="1" si="189"/>
        <v>Centro-Oeste</v>
      </c>
      <c r="Q427" s="2" t="str">
        <f t="shared" ca="1" si="190"/>
        <v>DF</v>
      </c>
      <c r="R427" s="2" t="str">
        <f t="shared" ca="1" si="191"/>
        <v>Taguatinga</v>
      </c>
      <c r="S427" s="8">
        <f t="shared" ca="1" si="192"/>
        <v>2</v>
      </c>
      <c r="T427" s="10">
        <f t="shared" ca="1" si="193"/>
        <v>147983</v>
      </c>
      <c r="U427" s="10">
        <f t="shared" ca="1" si="194"/>
        <v>122825.89</v>
      </c>
      <c r="V427" s="10">
        <f t="shared" ca="1" si="195"/>
        <v>295966</v>
      </c>
      <c r="W427" s="10">
        <f t="shared" ca="1" si="196"/>
        <v>245651.78</v>
      </c>
      <c r="X427" s="10">
        <f t="shared" ca="1" si="197"/>
        <v>50314.22</v>
      </c>
      <c r="Y427" s="12">
        <f t="shared" ca="1" si="198"/>
        <v>0.17</v>
      </c>
      <c r="Z427" s="2" t="str">
        <f t="shared" ca="1" si="199"/>
        <v>Em negociação</v>
      </c>
      <c r="AA427" s="8">
        <f t="shared" ca="1" si="200"/>
        <v>27</v>
      </c>
      <c r="AB427" s="2">
        <f t="shared" ca="1" si="201"/>
        <v>15</v>
      </c>
      <c r="AC427" s="2">
        <f t="shared" ca="1" si="202"/>
        <v>10</v>
      </c>
    </row>
    <row r="428" spans="1:29" x14ac:dyDescent="0.25">
      <c r="A428" s="14" t="str">
        <f t="shared" si="174"/>
        <v>VND-00428</v>
      </c>
      <c r="B428" s="5">
        <f t="shared" ca="1" si="175"/>
        <v>45325</v>
      </c>
      <c r="C428" s="2">
        <f t="shared" ca="1" si="176"/>
        <v>2024</v>
      </c>
      <c r="D428" s="2" t="str">
        <f t="shared" ca="1" si="177"/>
        <v>fevereiro</v>
      </c>
      <c r="E428" s="2" t="str">
        <f t="shared" ca="1" si="178"/>
        <v>2024/02</v>
      </c>
      <c r="F428" s="14" t="str">
        <f t="shared" ca="1" si="179"/>
        <v>CLI-5801</v>
      </c>
      <c r="G428" s="2" t="str">
        <f t="shared" ca="1" si="180"/>
        <v>Fernanda</v>
      </c>
      <c r="H428" s="2" t="str">
        <f t="shared" ca="1" si="181"/>
        <v>Recorrente</v>
      </c>
      <c r="I428" s="2" t="str">
        <f t="shared" ca="1" si="182"/>
        <v>Ana</v>
      </c>
      <c r="J428" s="14" t="str">
        <f t="shared" ca="1" si="183"/>
        <v>VCL-9897</v>
      </c>
      <c r="K428" s="2" t="str">
        <f t="shared" ca="1" si="184"/>
        <v>Corolla</v>
      </c>
      <c r="L428" s="2" t="str">
        <f t="shared" ca="1" si="185"/>
        <v>Toyota</v>
      </c>
      <c r="M428" s="2" t="str">
        <f t="shared" ca="1" si="186"/>
        <v>SUV</v>
      </c>
      <c r="N428" s="2">
        <f t="shared" ca="1" si="187"/>
        <v>2021</v>
      </c>
      <c r="O428" s="2" t="str">
        <f t="shared" ca="1" si="188"/>
        <v>Loja</v>
      </c>
      <c r="P428" s="2" t="str">
        <f t="shared" ca="1" si="189"/>
        <v>Sudeste</v>
      </c>
      <c r="Q428" s="2" t="str">
        <f t="shared" ca="1" si="190"/>
        <v>ES</v>
      </c>
      <c r="R428" s="2" t="str">
        <f t="shared" ca="1" si="191"/>
        <v>Vila Velha</v>
      </c>
      <c r="S428" s="8">
        <f t="shared" ca="1" si="192"/>
        <v>1</v>
      </c>
      <c r="T428" s="10">
        <f t="shared" ca="1" si="193"/>
        <v>120674</v>
      </c>
      <c r="U428" s="10">
        <f t="shared" ca="1" si="194"/>
        <v>97745.94</v>
      </c>
      <c r="V428" s="10">
        <f t="shared" ca="1" si="195"/>
        <v>120674</v>
      </c>
      <c r="W428" s="10">
        <f t="shared" ca="1" si="196"/>
        <v>97745.94</v>
      </c>
      <c r="X428" s="10">
        <f t="shared" ca="1" si="197"/>
        <v>22928.059999999998</v>
      </c>
      <c r="Y428" s="12">
        <f t="shared" ca="1" si="198"/>
        <v>0.18999999999999997</v>
      </c>
      <c r="Z428" s="2" t="str">
        <f t="shared" ca="1" si="199"/>
        <v>Em negociação</v>
      </c>
      <c r="AA428" s="8">
        <f t="shared" ca="1" si="200"/>
        <v>28</v>
      </c>
      <c r="AB428" s="2">
        <f t="shared" ca="1" si="201"/>
        <v>6</v>
      </c>
      <c r="AC428" s="2">
        <f t="shared" ca="1" si="202"/>
        <v>7</v>
      </c>
    </row>
    <row r="429" spans="1:29" x14ac:dyDescent="0.25">
      <c r="A429" s="14" t="str">
        <f t="shared" si="174"/>
        <v>VND-00429</v>
      </c>
      <c r="B429" s="5">
        <f t="shared" ca="1" si="175"/>
        <v>45385</v>
      </c>
      <c r="C429" s="2">
        <f t="shared" ca="1" si="176"/>
        <v>2024</v>
      </c>
      <c r="D429" s="2" t="str">
        <f t="shared" ca="1" si="177"/>
        <v>abril</v>
      </c>
      <c r="E429" s="2" t="str">
        <f t="shared" ca="1" si="178"/>
        <v>2024/04</v>
      </c>
      <c r="F429" s="14" t="str">
        <f t="shared" ca="1" si="179"/>
        <v>CLI-9328</v>
      </c>
      <c r="G429" s="2" t="str">
        <f t="shared" ca="1" si="180"/>
        <v>Maria</v>
      </c>
      <c r="H429" s="2" t="str">
        <f t="shared" ca="1" si="181"/>
        <v>Recorrente</v>
      </c>
      <c r="I429" s="2" t="str">
        <f t="shared" ca="1" si="182"/>
        <v>Fernanda</v>
      </c>
      <c r="J429" s="14" t="str">
        <f t="shared" ca="1" si="183"/>
        <v>VCL-6014</v>
      </c>
      <c r="K429" s="2" t="str">
        <f t="shared" ca="1" si="184"/>
        <v>Onix</v>
      </c>
      <c r="L429" s="2" t="str">
        <f t="shared" ca="1" si="185"/>
        <v>Chevrolet</v>
      </c>
      <c r="M429" s="2" t="str">
        <f t="shared" ca="1" si="186"/>
        <v>Popular</v>
      </c>
      <c r="N429" s="2">
        <f t="shared" ca="1" si="187"/>
        <v>2017</v>
      </c>
      <c r="O429" s="2" t="str">
        <f t="shared" ca="1" si="188"/>
        <v>Online</v>
      </c>
      <c r="P429" s="2" t="str">
        <f t="shared" ca="1" si="189"/>
        <v>Nordeste</v>
      </c>
      <c r="Q429" s="2" t="str">
        <f t="shared" ca="1" si="190"/>
        <v>CE</v>
      </c>
      <c r="R429" s="2" t="str">
        <f t="shared" ca="1" si="191"/>
        <v>Fortaleza</v>
      </c>
      <c r="S429" s="8">
        <f t="shared" ca="1" si="192"/>
        <v>4</v>
      </c>
      <c r="T429" s="10">
        <f t="shared" ca="1" si="193"/>
        <v>145950</v>
      </c>
      <c r="U429" s="10">
        <f t="shared" ca="1" si="194"/>
        <v>113841</v>
      </c>
      <c r="V429" s="10">
        <f t="shared" ca="1" si="195"/>
        <v>583800</v>
      </c>
      <c r="W429" s="10">
        <f t="shared" ca="1" si="196"/>
        <v>455364</v>
      </c>
      <c r="X429" s="10">
        <f t="shared" ca="1" si="197"/>
        <v>128436</v>
      </c>
      <c r="Y429" s="12">
        <f t="shared" ca="1" si="198"/>
        <v>0.22</v>
      </c>
      <c r="Z429" s="2" t="str">
        <f t="shared" ca="1" si="199"/>
        <v>Concluída</v>
      </c>
      <c r="AA429" s="8">
        <f t="shared" ca="1" si="200"/>
        <v>27</v>
      </c>
      <c r="AB429" s="2">
        <f t="shared" ca="1" si="201"/>
        <v>26</v>
      </c>
      <c r="AC429" s="2">
        <f t="shared" ca="1" si="202"/>
        <v>10</v>
      </c>
    </row>
    <row r="430" spans="1:29" x14ac:dyDescent="0.25">
      <c r="A430" s="14" t="str">
        <f t="shared" si="174"/>
        <v>VND-00430</v>
      </c>
      <c r="B430" s="5">
        <f t="shared" ca="1" si="175"/>
        <v>46015</v>
      </c>
      <c r="C430" s="2">
        <f t="shared" ca="1" si="176"/>
        <v>2025</v>
      </c>
      <c r="D430" s="2" t="str">
        <f t="shared" ca="1" si="177"/>
        <v>dezembro</v>
      </c>
      <c r="E430" s="2" t="str">
        <f t="shared" ca="1" si="178"/>
        <v>2025/12</v>
      </c>
      <c r="F430" s="14" t="str">
        <f t="shared" ca="1" si="179"/>
        <v>CLI-2464</v>
      </c>
      <c r="G430" s="2" t="str">
        <f t="shared" ca="1" si="180"/>
        <v>Maria</v>
      </c>
      <c r="H430" s="2" t="str">
        <f t="shared" ca="1" si="181"/>
        <v>Recorrente</v>
      </c>
      <c r="I430" s="2" t="str">
        <f t="shared" ca="1" si="182"/>
        <v>Tatiane</v>
      </c>
      <c r="J430" s="14" t="str">
        <f t="shared" ca="1" si="183"/>
        <v>VCL-3090</v>
      </c>
      <c r="K430" s="2" t="str">
        <f t="shared" ca="1" si="184"/>
        <v>Onix</v>
      </c>
      <c r="L430" s="2" t="str">
        <f t="shared" ca="1" si="185"/>
        <v>Chevrolet</v>
      </c>
      <c r="M430" s="2" t="str">
        <f t="shared" ca="1" si="186"/>
        <v>Popular</v>
      </c>
      <c r="N430" s="2">
        <f t="shared" ca="1" si="187"/>
        <v>2023</v>
      </c>
      <c r="O430" s="2" t="str">
        <f t="shared" ca="1" si="188"/>
        <v>Loja</v>
      </c>
      <c r="P430" s="2" t="str">
        <f t="shared" ca="1" si="189"/>
        <v>Norte</v>
      </c>
      <c r="Q430" s="2" t="str">
        <f t="shared" ca="1" si="190"/>
        <v>PA</v>
      </c>
      <c r="R430" s="2" t="str">
        <f t="shared" ca="1" si="191"/>
        <v>Belém</v>
      </c>
      <c r="S430" s="8">
        <f t="shared" ca="1" si="192"/>
        <v>5</v>
      </c>
      <c r="T430" s="10">
        <f t="shared" ca="1" si="193"/>
        <v>74412</v>
      </c>
      <c r="U430" s="10">
        <f t="shared" ca="1" si="194"/>
        <v>61761.96</v>
      </c>
      <c r="V430" s="10">
        <f t="shared" ca="1" si="195"/>
        <v>372060</v>
      </c>
      <c r="W430" s="10">
        <f t="shared" ca="1" si="196"/>
        <v>308809.8</v>
      </c>
      <c r="X430" s="10">
        <f t="shared" ca="1" si="197"/>
        <v>63250.200000000012</v>
      </c>
      <c r="Y430" s="12">
        <f t="shared" ca="1" si="198"/>
        <v>0.17000000000000004</v>
      </c>
      <c r="Z430" s="2" t="str">
        <f t="shared" ca="1" si="199"/>
        <v>Concluída</v>
      </c>
      <c r="AA430" s="8">
        <f t="shared" ca="1" si="200"/>
        <v>22</v>
      </c>
      <c r="AB430" s="2">
        <f t="shared" ca="1" si="201"/>
        <v>13</v>
      </c>
      <c r="AC430" s="2">
        <f t="shared" ca="1" si="202"/>
        <v>10</v>
      </c>
    </row>
    <row r="431" spans="1:29" x14ac:dyDescent="0.25">
      <c r="A431" s="14" t="str">
        <f t="shared" si="174"/>
        <v>VND-00431</v>
      </c>
      <c r="B431" s="5">
        <f t="shared" ca="1" si="175"/>
        <v>45634</v>
      </c>
      <c r="C431" s="2">
        <f t="shared" ca="1" si="176"/>
        <v>2024</v>
      </c>
      <c r="D431" s="2" t="str">
        <f t="shared" ca="1" si="177"/>
        <v>dezembro</v>
      </c>
      <c r="E431" s="2" t="str">
        <f t="shared" ca="1" si="178"/>
        <v>2024/12</v>
      </c>
      <c r="F431" s="14" t="str">
        <f t="shared" ca="1" si="179"/>
        <v>CLI-5054</v>
      </c>
      <c r="G431" s="2" t="str">
        <f t="shared" ca="1" si="180"/>
        <v>Ana</v>
      </c>
      <c r="H431" s="2" t="str">
        <f t="shared" ca="1" si="181"/>
        <v>Novo</v>
      </c>
      <c r="I431" s="2" t="str">
        <f t="shared" ca="1" si="182"/>
        <v>Eduardo</v>
      </c>
      <c r="J431" s="14" t="str">
        <f t="shared" ca="1" si="183"/>
        <v>VCL-3154</v>
      </c>
      <c r="K431" s="2" t="str">
        <f t="shared" ca="1" si="184"/>
        <v>Corolla</v>
      </c>
      <c r="L431" s="2" t="str">
        <f t="shared" ca="1" si="185"/>
        <v>Toyota</v>
      </c>
      <c r="M431" s="2" t="str">
        <f t="shared" ca="1" si="186"/>
        <v>SUV</v>
      </c>
      <c r="N431" s="2">
        <f t="shared" ca="1" si="187"/>
        <v>2022</v>
      </c>
      <c r="O431" s="2" t="str">
        <f t="shared" ca="1" si="188"/>
        <v>Loja</v>
      </c>
      <c r="P431" s="2" t="str">
        <f t="shared" ca="1" si="189"/>
        <v>Centro-Oeste</v>
      </c>
      <c r="Q431" s="2" t="str">
        <f t="shared" ca="1" si="190"/>
        <v>MT</v>
      </c>
      <c r="R431" s="2" t="str">
        <f t="shared" ca="1" si="191"/>
        <v>Sinop</v>
      </c>
      <c r="S431" s="8">
        <f t="shared" ca="1" si="192"/>
        <v>10</v>
      </c>
      <c r="T431" s="10">
        <f t="shared" ca="1" si="193"/>
        <v>136263</v>
      </c>
      <c r="U431" s="10">
        <f t="shared" ca="1" si="194"/>
        <v>113098.29</v>
      </c>
      <c r="V431" s="10">
        <f t="shared" ca="1" si="195"/>
        <v>1362630</v>
      </c>
      <c r="W431" s="10">
        <f t="shared" ca="1" si="196"/>
        <v>1130982.8999999999</v>
      </c>
      <c r="X431" s="10">
        <f t="shared" ca="1" si="197"/>
        <v>231647.10000000009</v>
      </c>
      <c r="Y431" s="12">
        <f t="shared" ca="1" si="198"/>
        <v>0.17000000000000007</v>
      </c>
      <c r="Z431" s="2" t="str">
        <f t="shared" ca="1" si="199"/>
        <v>Concluída</v>
      </c>
      <c r="AA431" s="8">
        <f t="shared" ca="1" si="200"/>
        <v>20</v>
      </c>
      <c r="AB431" s="2">
        <f t="shared" ca="1" si="201"/>
        <v>14</v>
      </c>
      <c r="AC431" s="2">
        <f t="shared" ca="1" si="202"/>
        <v>7</v>
      </c>
    </row>
    <row r="432" spans="1:29" x14ac:dyDescent="0.25">
      <c r="A432" s="14" t="str">
        <f t="shared" si="174"/>
        <v>VND-00432</v>
      </c>
      <c r="B432" s="5">
        <f t="shared" ca="1" si="175"/>
        <v>45998</v>
      </c>
      <c r="C432" s="2">
        <f t="shared" ca="1" si="176"/>
        <v>2025</v>
      </c>
      <c r="D432" s="2" t="str">
        <f t="shared" ca="1" si="177"/>
        <v>dezembro</v>
      </c>
      <c r="E432" s="2" t="str">
        <f t="shared" ca="1" si="178"/>
        <v>2025/12</v>
      </c>
      <c r="F432" s="14" t="str">
        <f t="shared" ca="1" si="179"/>
        <v>CLI-5661</v>
      </c>
      <c r="G432" s="2" t="str">
        <f t="shared" ca="1" si="180"/>
        <v>Rafael</v>
      </c>
      <c r="H432" s="2" t="str">
        <f t="shared" ca="1" si="181"/>
        <v>Novo</v>
      </c>
      <c r="I432" s="2" t="str">
        <f t="shared" ca="1" si="182"/>
        <v>Carla</v>
      </c>
      <c r="J432" s="14" t="str">
        <f t="shared" ca="1" si="183"/>
        <v>VCL-2509</v>
      </c>
      <c r="K432" s="2" t="str">
        <f t="shared" ca="1" si="184"/>
        <v>Onix</v>
      </c>
      <c r="L432" s="2" t="str">
        <f t="shared" ca="1" si="185"/>
        <v>Chevrolet</v>
      </c>
      <c r="M432" s="2" t="str">
        <f t="shared" ca="1" si="186"/>
        <v>Popular</v>
      </c>
      <c r="N432" s="2">
        <f t="shared" ca="1" si="187"/>
        <v>2024</v>
      </c>
      <c r="O432" s="2" t="str">
        <f t="shared" ca="1" si="188"/>
        <v>Loja</v>
      </c>
      <c r="P432" s="2" t="str">
        <f t="shared" ca="1" si="189"/>
        <v>Sul</v>
      </c>
      <c r="Q432" s="2" t="str">
        <f t="shared" ca="1" si="190"/>
        <v>RS</v>
      </c>
      <c r="R432" s="2" t="str">
        <f t="shared" ca="1" si="191"/>
        <v>Pelotas</v>
      </c>
      <c r="S432" s="8">
        <f t="shared" ca="1" si="192"/>
        <v>5</v>
      </c>
      <c r="T432" s="10">
        <f t="shared" ca="1" si="193"/>
        <v>88857</v>
      </c>
      <c r="U432" s="10">
        <f t="shared" ca="1" si="194"/>
        <v>74639.87999999999</v>
      </c>
      <c r="V432" s="10">
        <f t="shared" ca="1" si="195"/>
        <v>444285</v>
      </c>
      <c r="W432" s="10">
        <f t="shared" ca="1" si="196"/>
        <v>373199.39999999997</v>
      </c>
      <c r="X432" s="10">
        <f t="shared" ca="1" si="197"/>
        <v>71085.600000000035</v>
      </c>
      <c r="Y432" s="12">
        <f t="shared" ca="1" si="198"/>
        <v>0.16000000000000009</v>
      </c>
      <c r="Z432" s="2" t="str">
        <f t="shared" ca="1" si="199"/>
        <v>Em negociação</v>
      </c>
      <c r="AA432" s="8">
        <f t="shared" ca="1" si="200"/>
        <v>4</v>
      </c>
      <c r="AB432" s="2">
        <f t="shared" ca="1" si="201"/>
        <v>26</v>
      </c>
      <c r="AC432" s="2">
        <f t="shared" ca="1" si="202"/>
        <v>10</v>
      </c>
    </row>
    <row r="433" spans="1:29" x14ac:dyDescent="0.25">
      <c r="A433" s="14" t="str">
        <f t="shared" si="174"/>
        <v>VND-00433</v>
      </c>
      <c r="B433" s="5">
        <f t="shared" ca="1" si="175"/>
        <v>45371</v>
      </c>
      <c r="C433" s="2">
        <f t="shared" ca="1" si="176"/>
        <v>2024</v>
      </c>
      <c r="D433" s="2" t="str">
        <f t="shared" ca="1" si="177"/>
        <v>março</v>
      </c>
      <c r="E433" s="2" t="str">
        <f t="shared" ca="1" si="178"/>
        <v>2024/03</v>
      </c>
      <c r="F433" s="14" t="str">
        <f t="shared" ca="1" si="179"/>
        <v>CLI-7423</v>
      </c>
      <c r="G433" s="2" t="str">
        <f t="shared" ca="1" si="180"/>
        <v>João</v>
      </c>
      <c r="H433" s="2" t="str">
        <f t="shared" ca="1" si="181"/>
        <v>Novo</v>
      </c>
      <c r="I433" s="2" t="str">
        <f t="shared" ca="1" si="182"/>
        <v>Rafael</v>
      </c>
      <c r="J433" s="14" t="str">
        <f t="shared" ca="1" si="183"/>
        <v>VCL-4644</v>
      </c>
      <c r="K433" s="2" t="str">
        <f t="shared" ca="1" si="184"/>
        <v>BMW X1</v>
      </c>
      <c r="L433" s="2" t="str">
        <f t="shared" ca="1" si="185"/>
        <v>BMW</v>
      </c>
      <c r="M433" s="2" t="str">
        <f t="shared" ca="1" si="186"/>
        <v>Luxo</v>
      </c>
      <c r="N433" s="2">
        <f t="shared" ca="1" si="187"/>
        <v>2021</v>
      </c>
      <c r="O433" s="2" t="str">
        <f t="shared" ca="1" si="188"/>
        <v>Online</v>
      </c>
      <c r="P433" s="2" t="str">
        <f t="shared" ca="1" si="189"/>
        <v>Sul</v>
      </c>
      <c r="Q433" s="2" t="str">
        <f t="shared" ca="1" si="190"/>
        <v>RS</v>
      </c>
      <c r="R433" s="2" t="str">
        <f t="shared" ca="1" si="191"/>
        <v>Santa Maria</v>
      </c>
      <c r="S433" s="8">
        <f t="shared" ca="1" si="192"/>
        <v>6</v>
      </c>
      <c r="T433" s="10">
        <f t="shared" ca="1" si="193"/>
        <v>177569</v>
      </c>
      <c r="U433" s="10">
        <f t="shared" ca="1" si="194"/>
        <v>138503.82</v>
      </c>
      <c r="V433" s="10">
        <f t="shared" ca="1" si="195"/>
        <v>1065414</v>
      </c>
      <c r="W433" s="10">
        <f t="shared" ca="1" si="196"/>
        <v>831022.92</v>
      </c>
      <c r="X433" s="10">
        <f t="shared" ca="1" si="197"/>
        <v>234391.07999999996</v>
      </c>
      <c r="Y433" s="12">
        <f t="shared" ca="1" si="198"/>
        <v>0.21999999999999997</v>
      </c>
      <c r="Z433" s="2" t="str">
        <f t="shared" ca="1" si="199"/>
        <v>Concluída</v>
      </c>
      <c r="AA433" s="8">
        <f t="shared" ca="1" si="200"/>
        <v>17</v>
      </c>
      <c r="AB433" s="2">
        <f t="shared" ca="1" si="201"/>
        <v>3</v>
      </c>
      <c r="AC433" s="2">
        <f t="shared" ca="1" si="202"/>
        <v>3</v>
      </c>
    </row>
    <row r="434" spans="1:29" x14ac:dyDescent="0.25">
      <c r="A434" s="14" t="str">
        <f t="shared" si="174"/>
        <v>VND-00434</v>
      </c>
      <c r="B434" s="5">
        <f t="shared" ca="1" si="175"/>
        <v>45513</v>
      </c>
      <c r="C434" s="2">
        <f t="shared" ca="1" si="176"/>
        <v>2024</v>
      </c>
      <c r="D434" s="2" t="str">
        <f t="shared" ca="1" si="177"/>
        <v>agosto</v>
      </c>
      <c r="E434" s="2" t="str">
        <f t="shared" ca="1" si="178"/>
        <v>2024/08</v>
      </c>
      <c r="F434" s="14" t="str">
        <f t="shared" ca="1" si="179"/>
        <v>CLI-9109</v>
      </c>
      <c r="G434" s="2" t="str">
        <f t="shared" ca="1" si="180"/>
        <v>Juliana</v>
      </c>
      <c r="H434" s="2" t="str">
        <f t="shared" ca="1" si="181"/>
        <v>Recorrente</v>
      </c>
      <c r="I434" s="2" t="str">
        <f t="shared" ca="1" si="182"/>
        <v>Ana</v>
      </c>
      <c r="J434" s="14" t="str">
        <f t="shared" ca="1" si="183"/>
        <v>VCL-9525</v>
      </c>
      <c r="K434" s="2" t="str">
        <f t="shared" ca="1" si="184"/>
        <v>HB20</v>
      </c>
      <c r="L434" s="2" t="str">
        <f t="shared" ca="1" si="185"/>
        <v>Hyundai</v>
      </c>
      <c r="M434" s="2" t="str">
        <f t="shared" ca="1" si="186"/>
        <v>Popular</v>
      </c>
      <c r="N434" s="2">
        <f t="shared" ca="1" si="187"/>
        <v>2020</v>
      </c>
      <c r="O434" s="2" t="str">
        <f t="shared" ca="1" si="188"/>
        <v>Loja</v>
      </c>
      <c r="P434" s="2" t="str">
        <f t="shared" ca="1" si="189"/>
        <v>Sudeste</v>
      </c>
      <c r="Q434" s="2" t="str">
        <f t="shared" ca="1" si="190"/>
        <v>RJ</v>
      </c>
      <c r="R434" s="2" t="str">
        <f t="shared" ca="1" si="191"/>
        <v>Duque de Caxias</v>
      </c>
      <c r="S434" s="8">
        <f t="shared" ca="1" si="192"/>
        <v>5</v>
      </c>
      <c r="T434" s="10">
        <f t="shared" ca="1" si="193"/>
        <v>94870</v>
      </c>
      <c r="U434" s="10">
        <f t="shared" ca="1" si="194"/>
        <v>66409</v>
      </c>
      <c r="V434" s="10">
        <f t="shared" ca="1" si="195"/>
        <v>474350</v>
      </c>
      <c r="W434" s="10">
        <f t="shared" ca="1" si="196"/>
        <v>332045</v>
      </c>
      <c r="X434" s="10">
        <f t="shared" ca="1" si="197"/>
        <v>142305</v>
      </c>
      <c r="Y434" s="12">
        <f t="shared" ca="1" si="198"/>
        <v>0.3</v>
      </c>
      <c r="Z434" s="2" t="str">
        <f t="shared" ca="1" si="199"/>
        <v>Em negociação</v>
      </c>
      <c r="AA434" s="8">
        <f t="shared" ca="1" si="200"/>
        <v>26</v>
      </c>
      <c r="AB434" s="2">
        <f t="shared" ca="1" si="201"/>
        <v>21</v>
      </c>
      <c r="AC434" s="2">
        <f t="shared" ca="1" si="202"/>
        <v>10</v>
      </c>
    </row>
    <row r="435" spans="1:29" x14ac:dyDescent="0.25">
      <c r="A435" s="14" t="str">
        <f t="shared" si="174"/>
        <v>VND-00435</v>
      </c>
      <c r="B435" s="5">
        <f t="shared" ca="1" si="175"/>
        <v>45923</v>
      </c>
      <c r="C435" s="2">
        <f t="shared" ca="1" si="176"/>
        <v>2025</v>
      </c>
      <c r="D435" s="2" t="str">
        <f t="shared" ca="1" si="177"/>
        <v>setembro</v>
      </c>
      <c r="E435" s="2" t="str">
        <f t="shared" ca="1" si="178"/>
        <v>2025/09</v>
      </c>
      <c r="F435" s="14" t="str">
        <f t="shared" ca="1" si="179"/>
        <v>CLI-6044</v>
      </c>
      <c r="G435" s="2" t="str">
        <f t="shared" ca="1" si="180"/>
        <v>Maria</v>
      </c>
      <c r="H435" s="2" t="str">
        <f t="shared" ca="1" si="181"/>
        <v>Novo</v>
      </c>
      <c r="I435" s="2" t="str">
        <f t="shared" ca="1" si="182"/>
        <v>Roberto</v>
      </c>
      <c r="J435" s="14" t="str">
        <f t="shared" ca="1" si="183"/>
        <v>VCL-4296</v>
      </c>
      <c r="K435" s="2" t="str">
        <f t="shared" ca="1" si="184"/>
        <v>HB20</v>
      </c>
      <c r="L435" s="2" t="str">
        <f t="shared" ca="1" si="185"/>
        <v>Hyundai</v>
      </c>
      <c r="M435" s="2" t="str">
        <f t="shared" ca="1" si="186"/>
        <v>Popular</v>
      </c>
      <c r="N435" s="2">
        <f t="shared" ca="1" si="187"/>
        <v>2018</v>
      </c>
      <c r="O435" s="2" t="str">
        <f t="shared" ca="1" si="188"/>
        <v>Loja</v>
      </c>
      <c r="P435" s="2" t="str">
        <f t="shared" ca="1" si="189"/>
        <v>Nordeste</v>
      </c>
      <c r="Q435" s="2" t="str">
        <f t="shared" ca="1" si="190"/>
        <v>BA</v>
      </c>
      <c r="R435" s="2" t="str">
        <f t="shared" ca="1" si="191"/>
        <v>Feira de Santana</v>
      </c>
      <c r="S435" s="8">
        <f t="shared" ca="1" si="192"/>
        <v>6</v>
      </c>
      <c r="T435" s="10">
        <f t="shared" ca="1" si="193"/>
        <v>175317</v>
      </c>
      <c r="U435" s="10">
        <f t="shared" ca="1" si="194"/>
        <v>136747.26</v>
      </c>
      <c r="V435" s="10">
        <f t="shared" ca="1" si="195"/>
        <v>1051902</v>
      </c>
      <c r="W435" s="10">
        <f t="shared" ca="1" si="196"/>
        <v>820483.56</v>
      </c>
      <c r="X435" s="10">
        <f t="shared" ca="1" si="197"/>
        <v>231418.43999999994</v>
      </c>
      <c r="Y435" s="12">
        <f t="shared" ca="1" si="198"/>
        <v>0.21999999999999995</v>
      </c>
      <c r="Z435" s="2" t="str">
        <f t="shared" ca="1" si="199"/>
        <v>Cancelada</v>
      </c>
      <c r="AA435" s="8">
        <f t="shared" ca="1" si="200"/>
        <v>4</v>
      </c>
      <c r="AB435" s="2">
        <f t="shared" ca="1" si="201"/>
        <v>13</v>
      </c>
      <c r="AC435" s="2">
        <f t="shared" ca="1" si="202"/>
        <v>10</v>
      </c>
    </row>
    <row r="436" spans="1:29" x14ac:dyDescent="0.25">
      <c r="A436" s="14" t="str">
        <f t="shared" si="174"/>
        <v>VND-00436</v>
      </c>
      <c r="B436" s="5">
        <f t="shared" ca="1" si="175"/>
        <v>45791</v>
      </c>
      <c r="C436" s="2">
        <f t="shared" ca="1" si="176"/>
        <v>2025</v>
      </c>
      <c r="D436" s="2" t="str">
        <f t="shared" ca="1" si="177"/>
        <v>maio</v>
      </c>
      <c r="E436" s="2" t="str">
        <f t="shared" ca="1" si="178"/>
        <v>2025/05</v>
      </c>
      <c r="F436" s="14" t="str">
        <f t="shared" ca="1" si="179"/>
        <v>CLI-6434</v>
      </c>
      <c r="G436" s="2" t="str">
        <f t="shared" ca="1" si="180"/>
        <v>Rafael</v>
      </c>
      <c r="H436" s="2" t="str">
        <f t="shared" ca="1" si="181"/>
        <v>Novo</v>
      </c>
      <c r="I436" s="2" t="str">
        <f t="shared" ca="1" si="182"/>
        <v>Patricia</v>
      </c>
      <c r="J436" s="14" t="str">
        <f t="shared" ca="1" si="183"/>
        <v>VCL-5516</v>
      </c>
      <c r="K436" s="2" t="str">
        <f t="shared" ca="1" si="184"/>
        <v>HB20</v>
      </c>
      <c r="L436" s="2" t="str">
        <f t="shared" ca="1" si="185"/>
        <v>Hyundai</v>
      </c>
      <c r="M436" s="2" t="str">
        <f t="shared" ca="1" si="186"/>
        <v>Popular</v>
      </c>
      <c r="N436" s="2">
        <f t="shared" ca="1" si="187"/>
        <v>2024</v>
      </c>
      <c r="O436" s="2" t="str">
        <f t="shared" ca="1" si="188"/>
        <v>Loja</v>
      </c>
      <c r="P436" s="2" t="str">
        <f t="shared" ca="1" si="189"/>
        <v>Nordeste</v>
      </c>
      <c r="Q436" s="2" t="str">
        <f t="shared" ca="1" si="190"/>
        <v>PE</v>
      </c>
      <c r="R436" s="2" t="str">
        <f t="shared" ca="1" si="191"/>
        <v>Caruaru</v>
      </c>
      <c r="S436" s="8">
        <f t="shared" ca="1" si="192"/>
        <v>9</v>
      </c>
      <c r="T436" s="10">
        <f t="shared" ca="1" si="193"/>
        <v>121220</v>
      </c>
      <c r="U436" s="10">
        <f t="shared" ca="1" si="194"/>
        <v>84854</v>
      </c>
      <c r="V436" s="10">
        <f t="shared" ca="1" si="195"/>
        <v>1090980</v>
      </c>
      <c r="W436" s="10">
        <f t="shared" ca="1" si="196"/>
        <v>763686</v>
      </c>
      <c r="X436" s="10">
        <f t="shared" ca="1" si="197"/>
        <v>327294</v>
      </c>
      <c r="Y436" s="12">
        <f t="shared" ca="1" si="198"/>
        <v>0.3</v>
      </c>
      <c r="Z436" s="2" t="str">
        <f t="shared" ca="1" si="199"/>
        <v>Concluída</v>
      </c>
      <c r="AA436" s="8">
        <f t="shared" ca="1" si="200"/>
        <v>4</v>
      </c>
      <c r="AB436" s="2">
        <f t="shared" ca="1" si="201"/>
        <v>15</v>
      </c>
      <c r="AC436" s="2">
        <f t="shared" ca="1" si="202"/>
        <v>10</v>
      </c>
    </row>
    <row r="437" spans="1:29" x14ac:dyDescent="0.25">
      <c r="A437" s="14" t="str">
        <f t="shared" si="174"/>
        <v>VND-00437</v>
      </c>
      <c r="B437" s="5">
        <f t="shared" ca="1" si="175"/>
        <v>45923</v>
      </c>
      <c r="C437" s="2">
        <f t="shared" ca="1" si="176"/>
        <v>2025</v>
      </c>
      <c r="D437" s="2" t="str">
        <f t="shared" ca="1" si="177"/>
        <v>setembro</v>
      </c>
      <c r="E437" s="2" t="str">
        <f t="shared" ca="1" si="178"/>
        <v>2025/09</v>
      </c>
      <c r="F437" s="14" t="str">
        <f t="shared" ca="1" si="179"/>
        <v>CLI-3488</v>
      </c>
      <c r="G437" s="2" t="str">
        <f t="shared" ca="1" si="180"/>
        <v>Rafael</v>
      </c>
      <c r="H437" s="2" t="str">
        <f t="shared" ca="1" si="181"/>
        <v>Recorrente</v>
      </c>
      <c r="I437" s="2" t="str">
        <f t="shared" ca="1" si="182"/>
        <v>Roberto</v>
      </c>
      <c r="J437" s="14" t="str">
        <f t="shared" ca="1" si="183"/>
        <v>VCL-2822</v>
      </c>
      <c r="K437" s="2" t="str">
        <f t="shared" ca="1" si="184"/>
        <v>Civic</v>
      </c>
      <c r="L437" s="2" t="str">
        <f t="shared" ca="1" si="185"/>
        <v>Honda</v>
      </c>
      <c r="M437" s="2" t="str">
        <f t="shared" ca="1" si="186"/>
        <v>SUV</v>
      </c>
      <c r="N437" s="2">
        <f t="shared" ca="1" si="187"/>
        <v>2023</v>
      </c>
      <c r="O437" s="2" t="str">
        <f t="shared" ca="1" si="188"/>
        <v>Online</v>
      </c>
      <c r="P437" s="2" t="str">
        <f t="shared" ca="1" si="189"/>
        <v>Nordeste</v>
      </c>
      <c r="Q437" s="2" t="str">
        <f t="shared" ca="1" si="190"/>
        <v>BA</v>
      </c>
      <c r="R437" s="2" t="str">
        <f t="shared" ca="1" si="191"/>
        <v>Feira de Santana</v>
      </c>
      <c r="S437" s="8">
        <f t="shared" ca="1" si="192"/>
        <v>7</v>
      </c>
      <c r="T437" s="10">
        <f t="shared" ca="1" si="193"/>
        <v>247653</v>
      </c>
      <c r="U437" s="10">
        <f t="shared" ca="1" si="194"/>
        <v>185739.75</v>
      </c>
      <c r="V437" s="10">
        <f t="shared" ca="1" si="195"/>
        <v>1733571</v>
      </c>
      <c r="W437" s="10">
        <f t="shared" ca="1" si="196"/>
        <v>1300178.25</v>
      </c>
      <c r="X437" s="10">
        <f t="shared" ca="1" si="197"/>
        <v>433392.75</v>
      </c>
      <c r="Y437" s="12">
        <f t="shared" ca="1" si="198"/>
        <v>0.25</v>
      </c>
      <c r="Z437" s="2" t="str">
        <f t="shared" ca="1" si="199"/>
        <v>Em negociação</v>
      </c>
      <c r="AA437" s="8">
        <f t="shared" ca="1" si="200"/>
        <v>28</v>
      </c>
      <c r="AB437" s="2">
        <f t="shared" ca="1" si="201"/>
        <v>7</v>
      </c>
      <c r="AC437" s="2">
        <f t="shared" ca="1" si="202"/>
        <v>7</v>
      </c>
    </row>
    <row r="438" spans="1:29" x14ac:dyDescent="0.25">
      <c r="A438" s="14" t="str">
        <f t="shared" si="174"/>
        <v>VND-00438</v>
      </c>
      <c r="B438" s="5">
        <f t="shared" ca="1" si="175"/>
        <v>45863</v>
      </c>
      <c r="C438" s="2">
        <f t="shared" ca="1" si="176"/>
        <v>2025</v>
      </c>
      <c r="D438" s="2" t="str">
        <f t="shared" ca="1" si="177"/>
        <v>julho</v>
      </c>
      <c r="E438" s="2" t="str">
        <f t="shared" ca="1" si="178"/>
        <v>2025/07</v>
      </c>
      <c r="F438" s="14" t="str">
        <f t="shared" ca="1" si="179"/>
        <v>CLI-1712</v>
      </c>
      <c r="G438" s="2" t="str">
        <f t="shared" ca="1" si="180"/>
        <v>Rafael</v>
      </c>
      <c r="H438" s="2" t="str">
        <f t="shared" ca="1" si="181"/>
        <v>Novo</v>
      </c>
      <c r="I438" s="2" t="str">
        <f t="shared" ca="1" si="182"/>
        <v>Juliana</v>
      </c>
      <c r="J438" s="14" t="str">
        <f t="shared" ca="1" si="183"/>
        <v>VCL-7318</v>
      </c>
      <c r="K438" s="2" t="str">
        <f t="shared" ca="1" si="184"/>
        <v>BMW X1</v>
      </c>
      <c r="L438" s="2" t="str">
        <f t="shared" ca="1" si="185"/>
        <v>BMW</v>
      </c>
      <c r="M438" s="2" t="str">
        <f t="shared" ca="1" si="186"/>
        <v>Luxo</v>
      </c>
      <c r="N438" s="2">
        <f t="shared" ca="1" si="187"/>
        <v>2021</v>
      </c>
      <c r="O438" s="2" t="str">
        <f t="shared" ca="1" si="188"/>
        <v>Loja</v>
      </c>
      <c r="P438" s="2" t="str">
        <f t="shared" ca="1" si="189"/>
        <v>Sul</v>
      </c>
      <c r="Q438" s="2" t="str">
        <f t="shared" ca="1" si="190"/>
        <v>PR</v>
      </c>
      <c r="R438" s="2" t="str">
        <f t="shared" ca="1" si="191"/>
        <v>Ponta Grossa</v>
      </c>
      <c r="S438" s="8">
        <f t="shared" ca="1" si="192"/>
        <v>10</v>
      </c>
      <c r="T438" s="10">
        <f t="shared" ca="1" si="193"/>
        <v>102220</v>
      </c>
      <c r="U438" s="10">
        <f t="shared" ca="1" si="194"/>
        <v>79731.600000000006</v>
      </c>
      <c r="V438" s="10">
        <f t="shared" ca="1" si="195"/>
        <v>1022200</v>
      </c>
      <c r="W438" s="10">
        <f t="shared" ca="1" si="196"/>
        <v>797316</v>
      </c>
      <c r="X438" s="10">
        <f t="shared" ca="1" si="197"/>
        <v>224884</v>
      </c>
      <c r="Y438" s="12">
        <f t="shared" ca="1" si="198"/>
        <v>0.22</v>
      </c>
      <c r="Z438" s="2" t="str">
        <f t="shared" ca="1" si="199"/>
        <v>Concluída</v>
      </c>
      <c r="AA438" s="8">
        <f t="shared" ca="1" si="200"/>
        <v>27</v>
      </c>
      <c r="AB438" s="2">
        <f t="shared" ca="1" si="201"/>
        <v>8</v>
      </c>
      <c r="AC438" s="2">
        <f t="shared" ca="1" si="202"/>
        <v>3</v>
      </c>
    </row>
    <row r="439" spans="1:29" x14ac:dyDescent="0.25">
      <c r="A439" s="14" t="str">
        <f t="shared" si="174"/>
        <v>VND-00439</v>
      </c>
      <c r="B439" s="5">
        <f t="shared" ca="1" si="175"/>
        <v>45948</v>
      </c>
      <c r="C439" s="2">
        <f t="shared" ca="1" si="176"/>
        <v>2025</v>
      </c>
      <c r="D439" s="2" t="str">
        <f t="shared" ca="1" si="177"/>
        <v>outubro</v>
      </c>
      <c r="E439" s="2" t="str">
        <f t="shared" ca="1" si="178"/>
        <v>2025/10</v>
      </c>
      <c r="F439" s="14" t="str">
        <f t="shared" ca="1" si="179"/>
        <v>CLI-8418</v>
      </c>
      <c r="G439" s="2" t="str">
        <f t="shared" ca="1" si="180"/>
        <v>Ana</v>
      </c>
      <c r="H439" s="2" t="str">
        <f t="shared" ca="1" si="181"/>
        <v>Novo</v>
      </c>
      <c r="I439" s="2" t="str">
        <f t="shared" ca="1" si="182"/>
        <v>Tatiane</v>
      </c>
      <c r="J439" s="14" t="str">
        <f t="shared" ca="1" si="183"/>
        <v>VCL-9345</v>
      </c>
      <c r="K439" s="2" t="str">
        <f t="shared" ca="1" si="184"/>
        <v>Onix</v>
      </c>
      <c r="L439" s="2" t="str">
        <f t="shared" ca="1" si="185"/>
        <v>Chevrolet</v>
      </c>
      <c r="M439" s="2" t="str">
        <f t="shared" ca="1" si="186"/>
        <v>Popular</v>
      </c>
      <c r="N439" s="2">
        <f t="shared" ca="1" si="187"/>
        <v>2020</v>
      </c>
      <c r="O439" s="2" t="str">
        <f t="shared" ca="1" si="188"/>
        <v>Online</v>
      </c>
      <c r="P439" s="2" t="str">
        <f t="shared" ca="1" si="189"/>
        <v>Norte</v>
      </c>
      <c r="Q439" s="2" t="str">
        <f t="shared" ca="1" si="190"/>
        <v>PA</v>
      </c>
      <c r="R439" s="2" t="str">
        <f t="shared" ca="1" si="191"/>
        <v>Marabá</v>
      </c>
      <c r="S439" s="8">
        <f t="shared" ca="1" si="192"/>
        <v>8</v>
      </c>
      <c r="T439" s="10">
        <f t="shared" ca="1" si="193"/>
        <v>119867</v>
      </c>
      <c r="U439" s="10">
        <f t="shared" ca="1" si="194"/>
        <v>98290.939999999988</v>
      </c>
      <c r="V439" s="10">
        <f t="shared" ca="1" si="195"/>
        <v>958936</v>
      </c>
      <c r="W439" s="10">
        <f t="shared" ca="1" si="196"/>
        <v>786327.5199999999</v>
      </c>
      <c r="X439" s="10">
        <f t="shared" ca="1" si="197"/>
        <v>172608.4800000001</v>
      </c>
      <c r="Y439" s="12">
        <f t="shared" ca="1" si="198"/>
        <v>0.1800000000000001</v>
      </c>
      <c r="Z439" s="2" t="str">
        <f t="shared" ca="1" si="199"/>
        <v>Concluída</v>
      </c>
      <c r="AA439" s="8">
        <f t="shared" ca="1" si="200"/>
        <v>20</v>
      </c>
      <c r="AB439" s="2">
        <f t="shared" ca="1" si="201"/>
        <v>29</v>
      </c>
      <c r="AC439" s="2">
        <f t="shared" ca="1" si="202"/>
        <v>10</v>
      </c>
    </row>
    <row r="440" spans="1:29" x14ac:dyDescent="0.25">
      <c r="A440" s="14" t="str">
        <f t="shared" si="174"/>
        <v>VND-00440</v>
      </c>
      <c r="B440" s="5">
        <f t="shared" ca="1" si="175"/>
        <v>45947</v>
      </c>
      <c r="C440" s="2">
        <f t="shared" ca="1" si="176"/>
        <v>2025</v>
      </c>
      <c r="D440" s="2" t="str">
        <f t="shared" ca="1" si="177"/>
        <v>outubro</v>
      </c>
      <c r="E440" s="2" t="str">
        <f t="shared" ca="1" si="178"/>
        <v>2025/10</v>
      </c>
      <c r="F440" s="14" t="str">
        <f t="shared" ca="1" si="179"/>
        <v>CLI-5973</v>
      </c>
      <c r="G440" s="2" t="str">
        <f t="shared" ca="1" si="180"/>
        <v>Lucas</v>
      </c>
      <c r="H440" s="2" t="str">
        <f t="shared" ca="1" si="181"/>
        <v>Recorrente</v>
      </c>
      <c r="I440" s="2" t="str">
        <f t="shared" ca="1" si="182"/>
        <v>Patricia</v>
      </c>
      <c r="J440" s="14" t="str">
        <f t="shared" ca="1" si="183"/>
        <v>VCL-3662</v>
      </c>
      <c r="K440" s="2" t="str">
        <f t="shared" ca="1" si="184"/>
        <v>Compass</v>
      </c>
      <c r="L440" s="2" t="str">
        <f t="shared" ca="1" si="185"/>
        <v>Jeep</v>
      </c>
      <c r="M440" s="2" t="str">
        <f t="shared" ca="1" si="186"/>
        <v>SUV</v>
      </c>
      <c r="N440" s="2">
        <f t="shared" ca="1" si="187"/>
        <v>2023</v>
      </c>
      <c r="O440" s="2" t="str">
        <f t="shared" ca="1" si="188"/>
        <v>Online</v>
      </c>
      <c r="P440" s="2" t="str">
        <f t="shared" ca="1" si="189"/>
        <v>Nordeste</v>
      </c>
      <c r="Q440" s="2" t="str">
        <f t="shared" ca="1" si="190"/>
        <v>PE</v>
      </c>
      <c r="R440" s="2" t="str">
        <f t="shared" ca="1" si="191"/>
        <v>Olinda</v>
      </c>
      <c r="S440" s="8">
        <f t="shared" ca="1" si="192"/>
        <v>10</v>
      </c>
      <c r="T440" s="10">
        <f t="shared" ca="1" si="193"/>
        <v>167117</v>
      </c>
      <c r="U440" s="10">
        <f t="shared" ca="1" si="194"/>
        <v>140378.28</v>
      </c>
      <c r="V440" s="10">
        <f t="shared" ca="1" si="195"/>
        <v>1671170</v>
      </c>
      <c r="W440" s="10">
        <f t="shared" ca="1" si="196"/>
        <v>1403782.8</v>
      </c>
      <c r="X440" s="10">
        <f t="shared" ca="1" si="197"/>
        <v>267387.19999999995</v>
      </c>
      <c r="Y440" s="12">
        <f t="shared" ca="1" si="198"/>
        <v>0.15999999999999998</v>
      </c>
      <c r="Z440" s="2" t="str">
        <f t="shared" ca="1" si="199"/>
        <v>Cancelada</v>
      </c>
      <c r="AA440" s="8">
        <f t="shared" ca="1" si="200"/>
        <v>15</v>
      </c>
      <c r="AB440" s="2">
        <f t="shared" ca="1" si="201"/>
        <v>8</v>
      </c>
      <c r="AC440" s="2">
        <f t="shared" ca="1" si="202"/>
        <v>7</v>
      </c>
    </row>
    <row r="441" spans="1:29" x14ac:dyDescent="0.25">
      <c r="A441" s="14" t="str">
        <f t="shared" si="174"/>
        <v>VND-00441</v>
      </c>
      <c r="B441" s="5">
        <f t="shared" ca="1" si="175"/>
        <v>45537</v>
      </c>
      <c r="C441" s="2">
        <f t="shared" ca="1" si="176"/>
        <v>2024</v>
      </c>
      <c r="D441" s="2" t="str">
        <f t="shared" ca="1" si="177"/>
        <v>setembro</v>
      </c>
      <c r="E441" s="2" t="str">
        <f t="shared" ca="1" si="178"/>
        <v>2024/09</v>
      </c>
      <c r="F441" s="14" t="str">
        <f t="shared" ca="1" si="179"/>
        <v>CLI-2580</v>
      </c>
      <c r="G441" s="2" t="str">
        <f t="shared" ca="1" si="180"/>
        <v>João</v>
      </c>
      <c r="H441" s="2" t="str">
        <f t="shared" ca="1" si="181"/>
        <v>Recorrente</v>
      </c>
      <c r="I441" s="2" t="str">
        <f t="shared" ca="1" si="182"/>
        <v>André</v>
      </c>
      <c r="J441" s="14" t="str">
        <f t="shared" ca="1" si="183"/>
        <v>VCL-6734</v>
      </c>
      <c r="K441" s="2" t="str">
        <f t="shared" ca="1" si="184"/>
        <v>Corolla</v>
      </c>
      <c r="L441" s="2" t="str">
        <f t="shared" ca="1" si="185"/>
        <v>Toyota</v>
      </c>
      <c r="M441" s="2" t="str">
        <f t="shared" ca="1" si="186"/>
        <v>SUV</v>
      </c>
      <c r="N441" s="2">
        <f t="shared" ca="1" si="187"/>
        <v>2018</v>
      </c>
      <c r="O441" s="2" t="str">
        <f t="shared" ca="1" si="188"/>
        <v>Online</v>
      </c>
      <c r="P441" s="2" t="str">
        <f t="shared" ca="1" si="189"/>
        <v>Nordeste</v>
      </c>
      <c r="Q441" s="2" t="str">
        <f t="shared" ca="1" si="190"/>
        <v>BA</v>
      </c>
      <c r="R441" s="2" t="str">
        <f t="shared" ca="1" si="191"/>
        <v>Salvador</v>
      </c>
      <c r="S441" s="8">
        <f t="shared" ca="1" si="192"/>
        <v>6</v>
      </c>
      <c r="T441" s="10">
        <f t="shared" ca="1" si="193"/>
        <v>180692</v>
      </c>
      <c r="U441" s="10">
        <f t="shared" ca="1" si="194"/>
        <v>151781.28</v>
      </c>
      <c r="V441" s="10">
        <f t="shared" ca="1" si="195"/>
        <v>1084152</v>
      </c>
      <c r="W441" s="10">
        <f t="shared" ca="1" si="196"/>
        <v>910687.67999999993</v>
      </c>
      <c r="X441" s="10">
        <f t="shared" ca="1" si="197"/>
        <v>173464.32000000007</v>
      </c>
      <c r="Y441" s="12">
        <f t="shared" ca="1" si="198"/>
        <v>0.16000000000000006</v>
      </c>
      <c r="Z441" s="2" t="str">
        <f t="shared" ca="1" si="199"/>
        <v>Em negociação</v>
      </c>
      <c r="AA441" s="8">
        <f t="shared" ca="1" si="200"/>
        <v>17</v>
      </c>
      <c r="AB441" s="2">
        <f t="shared" ca="1" si="201"/>
        <v>10</v>
      </c>
      <c r="AC441" s="2">
        <f t="shared" ca="1" si="202"/>
        <v>7</v>
      </c>
    </row>
    <row r="442" spans="1:29" x14ac:dyDescent="0.25">
      <c r="A442" s="14" t="str">
        <f t="shared" si="174"/>
        <v>VND-00442</v>
      </c>
      <c r="B442" s="5">
        <f t="shared" ca="1" si="175"/>
        <v>45828</v>
      </c>
      <c r="C442" s="2">
        <f t="shared" ca="1" si="176"/>
        <v>2025</v>
      </c>
      <c r="D442" s="2" t="str">
        <f t="shared" ca="1" si="177"/>
        <v>junho</v>
      </c>
      <c r="E442" s="2" t="str">
        <f t="shared" ca="1" si="178"/>
        <v>2025/06</v>
      </c>
      <c r="F442" s="14" t="str">
        <f t="shared" ca="1" si="179"/>
        <v>CLI-2353</v>
      </c>
      <c r="G442" s="2" t="str">
        <f t="shared" ca="1" si="180"/>
        <v>Maria</v>
      </c>
      <c r="H442" s="2" t="str">
        <f t="shared" ca="1" si="181"/>
        <v>Recorrente</v>
      </c>
      <c r="I442" s="2" t="str">
        <f t="shared" ca="1" si="182"/>
        <v>André</v>
      </c>
      <c r="J442" s="14" t="str">
        <f t="shared" ca="1" si="183"/>
        <v>VCL-7131</v>
      </c>
      <c r="K442" s="2" t="str">
        <f t="shared" ca="1" si="184"/>
        <v>Civic</v>
      </c>
      <c r="L442" s="2" t="str">
        <f t="shared" ca="1" si="185"/>
        <v>Honda</v>
      </c>
      <c r="M442" s="2" t="str">
        <f t="shared" ca="1" si="186"/>
        <v>SUV</v>
      </c>
      <c r="N442" s="2">
        <f t="shared" ca="1" si="187"/>
        <v>2024</v>
      </c>
      <c r="O442" s="2" t="str">
        <f t="shared" ca="1" si="188"/>
        <v>Loja</v>
      </c>
      <c r="P442" s="2" t="str">
        <f t="shared" ca="1" si="189"/>
        <v>Nordeste</v>
      </c>
      <c r="Q442" s="2" t="str">
        <f t="shared" ca="1" si="190"/>
        <v>CE</v>
      </c>
      <c r="R442" s="2" t="str">
        <f t="shared" ca="1" si="191"/>
        <v>Sobral</v>
      </c>
      <c r="S442" s="8">
        <f t="shared" ca="1" si="192"/>
        <v>4</v>
      </c>
      <c r="T442" s="10">
        <f t="shared" ca="1" si="193"/>
        <v>83282</v>
      </c>
      <c r="U442" s="10">
        <f t="shared" ca="1" si="194"/>
        <v>61628.68</v>
      </c>
      <c r="V442" s="10">
        <f t="shared" ca="1" si="195"/>
        <v>333128</v>
      </c>
      <c r="W442" s="10">
        <f t="shared" ca="1" si="196"/>
        <v>246514.72</v>
      </c>
      <c r="X442" s="10">
        <f t="shared" ca="1" si="197"/>
        <v>86613.28</v>
      </c>
      <c r="Y442" s="12">
        <f t="shared" ca="1" si="198"/>
        <v>0.26</v>
      </c>
      <c r="Z442" s="2" t="str">
        <f t="shared" ca="1" si="199"/>
        <v>Cancelada</v>
      </c>
      <c r="AA442" s="8">
        <f t="shared" ca="1" si="200"/>
        <v>6</v>
      </c>
      <c r="AB442" s="2">
        <f t="shared" ca="1" si="201"/>
        <v>20</v>
      </c>
      <c r="AC442" s="2">
        <f t="shared" ca="1" si="202"/>
        <v>7</v>
      </c>
    </row>
    <row r="443" spans="1:29" x14ac:dyDescent="0.25">
      <c r="A443" s="14" t="str">
        <f t="shared" si="174"/>
        <v>VND-00443</v>
      </c>
      <c r="B443" s="5">
        <f t="shared" ca="1" si="175"/>
        <v>45779</v>
      </c>
      <c r="C443" s="2">
        <f t="shared" ca="1" si="176"/>
        <v>2025</v>
      </c>
      <c r="D443" s="2" t="str">
        <f t="shared" ca="1" si="177"/>
        <v>maio</v>
      </c>
      <c r="E443" s="2" t="str">
        <f t="shared" ca="1" si="178"/>
        <v>2025/05</v>
      </c>
      <c r="F443" s="14" t="str">
        <f t="shared" ca="1" si="179"/>
        <v>CLI-4420</v>
      </c>
      <c r="G443" s="2" t="str">
        <f t="shared" ca="1" si="180"/>
        <v>Maria</v>
      </c>
      <c r="H443" s="2" t="str">
        <f t="shared" ca="1" si="181"/>
        <v>Novo</v>
      </c>
      <c r="I443" s="2" t="str">
        <f t="shared" ca="1" si="182"/>
        <v>Felipe</v>
      </c>
      <c r="J443" s="14" t="str">
        <f t="shared" ca="1" si="183"/>
        <v>VCL-1585</v>
      </c>
      <c r="K443" s="2" t="str">
        <f t="shared" ca="1" si="184"/>
        <v>Corolla</v>
      </c>
      <c r="L443" s="2" t="str">
        <f t="shared" ca="1" si="185"/>
        <v>Toyota</v>
      </c>
      <c r="M443" s="2" t="str">
        <f t="shared" ca="1" si="186"/>
        <v>SUV</v>
      </c>
      <c r="N443" s="2">
        <f t="shared" ca="1" si="187"/>
        <v>2023</v>
      </c>
      <c r="O443" s="2" t="str">
        <f t="shared" ca="1" si="188"/>
        <v>Online</v>
      </c>
      <c r="P443" s="2" t="str">
        <f t="shared" ca="1" si="189"/>
        <v>Norte</v>
      </c>
      <c r="Q443" s="2" t="str">
        <f t="shared" ca="1" si="190"/>
        <v>AM</v>
      </c>
      <c r="R443" s="2" t="str">
        <f t="shared" ca="1" si="191"/>
        <v>Itacoatiara</v>
      </c>
      <c r="S443" s="8">
        <f t="shared" ca="1" si="192"/>
        <v>10</v>
      </c>
      <c r="T443" s="10">
        <f t="shared" ca="1" si="193"/>
        <v>210102</v>
      </c>
      <c r="U443" s="10">
        <f t="shared" ca="1" si="194"/>
        <v>159677.51999999999</v>
      </c>
      <c r="V443" s="10">
        <f t="shared" ca="1" si="195"/>
        <v>2101020</v>
      </c>
      <c r="W443" s="10">
        <f t="shared" ca="1" si="196"/>
        <v>1596775.2</v>
      </c>
      <c r="X443" s="10">
        <f t="shared" ca="1" si="197"/>
        <v>504244.80000000005</v>
      </c>
      <c r="Y443" s="12">
        <f t="shared" ca="1" si="198"/>
        <v>0.24000000000000002</v>
      </c>
      <c r="Z443" s="2" t="str">
        <f t="shared" ca="1" si="199"/>
        <v>Concluída</v>
      </c>
      <c r="AA443" s="8">
        <f t="shared" ca="1" si="200"/>
        <v>16</v>
      </c>
      <c r="AB443" s="2">
        <f t="shared" ca="1" si="201"/>
        <v>20</v>
      </c>
      <c r="AC443" s="2">
        <f t="shared" ca="1" si="202"/>
        <v>7</v>
      </c>
    </row>
    <row r="444" spans="1:29" x14ac:dyDescent="0.25">
      <c r="A444" s="14" t="str">
        <f t="shared" si="174"/>
        <v>VND-00444</v>
      </c>
      <c r="B444" s="5">
        <f t="shared" ca="1" si="175"/>
        <v>45555</v>
      </c>
      <c r="C444" s="2">
        <f t="shared" ca="1" si="176"/>
        <v>2024</v>
      </c>
      <c r="D444" s="2" t="str">
        <f t="shared" ca="1" si="177"/>
        <v>setembro</v>
      </c>
      <c r="E444" s="2" t="str">
        <f t="shared" ca="1" si="178"/>
        <v>2024/09</v>
      </c>
      <c r="F444" s="14" t="str">
        <f t="shared" ca="1" si="179"/>
        <v>CLI-4761</v>
      </c>
      <c r="G444" s="2" t="str">
        <f t="shared" ca="1" si="180"/>
        <v>Lucas</v>
      </c>
      <c r="H444" s="2" t="str">
        <f t="shared" ca="1" si="181"/>
        <v>Recorrente</v>
      </c>
      <c r="I444" s="2" t="str">
        <f t="shared" ca="1" si="182"/>
        <v>Vinicius</v>
      </c>
      <c r="J444" s="14" t="str">
        <f t="shared" ca="1" si="183"/>
        <v>VCL-5173</v>
      </c>
      <c r="K444" s="2" t="str">
        <f t="shared" ca="1" si="184"/>
        <v>BMW X1</v>
      </c>
      <c r="L444" s="2" t="str">
        <f t="shared" ca="1" si="185"/>
        <v>BMW</v>
      </c>
      <c r="M444" s="2" t="str">
        <f t="shared" ca="1" si="186"/>
        <v>Luxo</v>
      </c>
      <c r="N444" s="2">
        <f t="shared" ca="1" si="187"/>
        <v>2020</v>
      </c>
      <c r="O444" s="2" t="str">
        <f t="shared" ca="1" si="188"/>
        <v>Online</v>
      </c>
      <c r="P444" s="2" t="str">
        <f t="shared" ca="1" si="189"/>
        <v>Centro-Oeste</v>
      </c>
      <c r="Q444" s="2" t="str">
        <f t="shared" ca="1" si="190"/>
        <v>MT</v>
      </c>
      <c r="R444" s="2" t="str">
        <f t="shared" ca="1" si="191"/>
        <v>Tangará da Serra</v>
      </c>
      <c r="S444" s="8">
        <f t="shared" ca="1" si="192"/>
        <v>3</v>
      </c>
      <c r="T444" s="10">
        <f t="shared" ca="1" si="193"/>
        <v>66653</v>
      </c>
      <c r="U444" s="10">
        <f t="shared" ca="1" si="194"/>
        <v>54655.46</v>
      </c>
      <c r="V444" s="10">
        <f t="shared" ca="1" si="195"/>
        <v>199959</v>
      </c>
      <c r="W444" s="10">
        <f t="shared" ca="1" si="196"/>
        <v>163966.38</v>
      </c>
      <c r="X444" s="10">
        <f t="shared" ca="1" si="197"/>
        <v>35992.619999999995</v>
      </c>
      <c r="Y444" s="12">
        <f t="shared" ca="1" si="198"/>
        <v>0.17999999999999997</v>
      </c>
      <c r="Z444" s="2" t="str">
        <f t="shared" ca="1" si="199"/>
        <v>Concluída</v>
      </c>
      <c r="AA444" s="8">
        <f t="shared" ca="1" si="200"/>
        <v>17</v>
      </c>
      <c r="AB444" s="2">
        <f t="shared" ca="1" si="201"/>
        <v>10</v>
      </c>
      <c r="AC444" s="2">
        <f t="shared" ca="1" si="202"/>
        <v>3</v>
      </c>
    </row>
    <row r="445" spans="1:29" x14ac:dyDescent="0.25">
      <c r="A445" s="14" t="str">
        <f t="shared" si="174"/>
        <v>VND-00445</v>
      </c>
      <c r="B445" s="5">
        <f t="shared" ca="1" si="175"/>
        <v>45537</v>
      </c>
      <c r="C445" s="2">
        <f t="shared" ca="1" si="176"/>
        <v>2024</v>
      </c>
      <c r="D445" s="2" t="str">
        <f t="shared" ca="1" si="177"/>
        <v>setembro</v>
      </c>
      <c r="E445" s="2" t="str">
        <f t="shared" ca="1" si="178"/>
        <v>2024/09</v>
      </c>
      <c r="F445" s="14" t="str">
        <f t="shared" ca="1" si="179"/>
        <v>CLI-5311</v>
      </c>
      <c r="G445" s="2" t="str">
        <f t="shared" ca="1" si="180"/>
        <v>Ana</v>
      </c>
      <c r="H445" s="2" t="str">
        <f t="shared" ca="1" si="181"/>
        <v>Novo</v>
      </c>
      <c r="I445" s="2" t="str">
        <f t="shared" ca="1" si="182"/>
        <v>Ricardo</v>
      </c>
      <c r="J445" s="14" t="str">
        <f t="shared" ca="1" si="183"/>
        <v>VCL-5775</v>
      </c>
      <c r="K445" s="2" t="str">
        <f t="shared" ca="1" si="184"/>
        <v>Onix</v>
      </c>
      <c r="L445" s="2" t="str">
        <f t="shared" ca="1" si="185"/>
        <v>Chevrolet</v>
      </c>
      <c r="M445" s="2" t="str">
        <f t="shared" ca="1" si="186"/>
        <v>Popular</v>
      </c>
      <c r="N445" s="2">
        <f t="shared" ca="1" si="187"/>
        <v>2023</v>
      </c>
      <c r="O445" s="2" t="str">
        <f t="shared" ca="1" si="188"/>
        <v>Online</v>
      </c>
      <c r="P445" s="2" t="str">
        <f t="shared" ca="1" si="189"/>
        <v>Norte</v>
      </c>
      <c r="Q445" s="2" t="str">
        <f t="shared" ca="1" si="190"/>
        <v>AM</v>
      </c>
      <c r="R445" s="2" t="str">
        <f t="shared" ca="1" si="191"/>
        <v>Itacoatiara</v>
      </c>
      <c r="S445" s="8">
        <f t="shared" ca="1" si="192"/>
        <v>10</v>
      </c>
      <c r="T445" s="10">
        <f t="shared" ca="1" si="193"/>
        <v>184389</v>
      </c>
      <c r="U445" s="10">
        <f t="shared" ca="1" si="194"/>
        <v>151198.97999999998</v>
      </c>
      <c r="V445" s="10">
        <f t="shared" ca="1" si="195"/>
        <v>1843890</v>
      </c>
      <c r="W445" s="10">
        <f t="shared" ca="1" si="196"/>
        <v>1511989.7999999998</v>
      </c>
      <c r="X445" s="10">
        <f t="shared" ca="1" si="197"/>
        <v>331900.20000000019</v>
      </c>
      <c r="Y445" s="12">
        <f t="shared" ca="1" si="198"/>
        <v>0.1800000000000001</v>
      </c>
      <c r="Z445" s="2" t="str">
        <f t="shared" ca="1" si="199"/>
        <v>Concluída</v>
      </c>
      <c r="AA445" s="8">
        <f t="shared" ca="1" si="200"/>
        <v>8</v>
      </c>
      <c r="AB445" s="2">
        <f t="shared" ca="1" si="201"/>
        <v>20</v>
      </c>
      <c r="AC445" s="2">
        <f t="shared" ca="1" si="202"/>
        <v>10</v>
      </c>
    </row>
    <row r="446" spans="1:29" x14ac:dyDescent="0.25">
      <c r="A446" s="14" t="str">
        <f t="shared" si="174"/>
        <v>VND-00446</v>
      </c>
      <c r="B446" s="5">
        <f t="shared" ca="1" si="175"/>
        <v>45391</v>
      </c>
      <c r="C446" s="2">
        <f t="shared" ca="1" si="176"/>
        <v>2024</v>
      </c>
      <c r="D446" s="2" t="str">
        <f t="shared" ca="1" si="177"/>
        <v>abril</v>
      </c>
      <c r="E446" s="2" t="str">
        <f t="shared" ca="1" si="178"/>
        <v>2024/04</v>
      </c>
      <c r="F446" s="14" t="str">
        <f t="shared" ca="1" si="179"/>
        <v>CLI-3657</v>
      </c>
      <c r="G446" s="2" t="str">
        <f t="shared" ca="1" si="180"/>
        <v>Carlos</v>
      </c>
      <c r="H446" s="2" t="str">
        <f t="shared" ca="1" si="181"/>
        <v>Novo</v>
      </c>
      <c r="I446" s="2" t="str">
        <f t="shared" ca="1" si="182"/>
        <v>Marcos</v>
      </c>
      <c r="J446" s="14" t="str">
        <f t="shared" ca="1" si="183"/>
        <v>VCL-5439</v>
      </c>
      <c r="K446" s="2" t="str">
        <f t="shared" ca="1" si="184"/>
        <v>HB20</v>
      </c>
      <c r="L446" s="2" t="str">
        <f t="shared" ca="1" si="185"/>
        <v>Hyundai</v>
      </c>
      <c r="M446" s="2" t="str">
        <f t="shared" ca="1" si="186"/>
        <v>Popular</v>
      </c>
      <c r="N446" s="2">
        <f t="shared" ca="1" si="187"/>
        <v>2017</v>
      </c>
      <c r="O446" s="2" t="str">
        <f t="shared" ca="1" si="188"/>
        <v>Online</v>
      </c>
      <c r="P446" s="2" t="str">
        <f t="shared" ca="1" si="189"/>
        <v>Sul</v>
      </c>
      <c r="Q446" s="2" t="str">
        <f t="shared" ca="1" si="190"/>
        <v>SC</v>
      </c>
      <c r="R446" s="2" t="str">
        <f t="shared" ca="1" si="191"/>
        <v>Joinville</v>
      </c>
      <c r="S446" s="8">
        <f t="shared" ca="1" si="192"/>
        <v>9</v>
      </c>
      <c r="T446" s="10">
        <f t="shared" ca="1" si="193"/>
        <v>91378</v>
      </c>
      <c r="U446" s="10">
        <f t="shared" ca="1" si="194"/>
        <v>74016.180000000008</v>
      </c>
      <c r="V446" s="10">
        <f t="shared" ca="1" si="195"/>
        <v>822402</v>
      </c>
      <c r="W446" s="10">
        <f t="shared" ca="1" si="196"/>
        <v>666145.62000000011</v>
      </c>
      <c r="X446" s="10">
        <f t="shared" ca="1" si="197"/>
        <v>156256.37999999989</v>
      </c>
      <c r="Y446" s="12">
        <f t="shared" ca="1" si="198"/>
        <v>0.18999999999999986</v>
      </c>
      <c r="Z446" s="2" t="str">
        <f t="shared" ca="1" si="199"/>
        <v>Concluída</v>
      </c>
      <c r="AA446" s="8">
        <f t="shared" ca="1" si="200"/>
        <v>19</v>
      </c>
      <c r="AB446" s="2">
        <f t="shared" ca="1" si="201"/>
        <v>12</v>
      </c>
      <c r="AC446" s="2">
        <f t="shared" ca="1" si="202"/>
        <v>10</v>
      </c>
    </row>
    <row r="447" spans="1:29" x14ac:dyDescent="0.25">
      <c r="A447" s="14" t="str">
        <f t="shared" si="174"/>
        <v>VND-00447</v>
      </c>
      <c r="B447" s="5">
        <f t="shared" ca="1" si="175"/>
        <v>45682</v>
      </c>
      <c r="C447" s="2">
        <f t="shared" ca="1" si="176"/>
        <v>2025</v>
      </c>
      <c r="D447" s="2" t="str">
        <f t="shared" ca="1" si="177"/>
        <v>janeiro</v>
      </c>
      <c r="E447" s="2" t="str">
        <f t="shared" ca="1" si="178"/>
        <v>2025/01</v>
      </c>
      <c r="F447" s="14" t="str">
        <f t="shared" ca="1" si="179"/>
        <v>CLI-6288</v>
      </c>
      <c r="G447" s="2" t="str">
        <f t="shared" ca="1" si="180"/>
        <v>Carlos</v>
      </c>
      <c r="H447" s="2" t="str">
        <f t="shared" ca="1" si="181"/>
        <v>Novo</v>
      </c>
      <c r="I447" s="2" t="str">
        <f t="shared" ca="1" si="182"/>
        <v>Juliana</v>
      </c>
      <c r="J447" s="14" t="str">
        <f t="shared" ca="1" si="183"/>
        <v>VCL-3555</v>
      </c>
      <c r="K447" s="2" t="str">
        <f t="shared" ca="1" si="184"/>
        <v>Civic</v>
      </c>
      <c r="L447" s="2" t="str">
        <f t="shared" ca="1" si="185"/>
        <v>Honda</v>
      </c>
      <c r="M447" s="2" t="str">
        <f t="shared" ca="1" si="186"/>
        <v>SUV</v>
      </c>
      <c r="N447" s="2">
        <f t="shared" ca="1" si="187"/>
        <v>2024</v>
      </c>
      <c r="O447" s="2" t="str">
        <f t="shared" ca="1" si="188"/>
        <v>Loja</v>
      </c>
      <c r="P447" s="2" t="str">
        <f t="shared" ca="1" si="189"/>
        <v>Sul</v>
      </c>
      <c r="Q447" s="2" t="str">
        <f t="shared" ca="1" si="190"/>
        <v>RS</v>
      </c>
      <c r="R447" s="2" t="str">
        <f t="shared" ca="1" si="191"/>
        <v>Pelotas</v>
      </c>
      <c r="S447" s="8">
        <f t="shared" ca="1" si="192"/>
        <v>4</v>
      </c>
      <c r="T447" s="10">
        <f t="shared" ca="1" si="193"/>
        <v>76315</v>
      </c>
      <c r="U447" s="10">
        <f t="shared" ca="1" si="194"/>
        <v>55709.95</v>
      </c>
      <c r="V447" s="10">
        <f t="shared" ca="1" si="195"/>
        <v>305260</v>
      </c>
      <c r="W447" s="10">
        <f t="shared" ca="1" si="196"/>
        <v>222839.8</v>
      </c>
      <c r="X447" s="10">
        <f t="shared" ca="1" si="197"/>
        <v>82420.200000000012</v>
      </c>
      <c r="Y447" s="12">
        <f t="shared" ca="1" si="198"/>
        <v>0.27</v>
      </c>
      <c r="Z447" s="2" t="str">
        <f t="shared" ca="1" si="199"/>
        <v>Em negociação</v>
      </c>
      <c r="AA447" s="8">
        <f t="shared" ca="1" si="200"/>
        <v>29</v>
      </c>
      <c r="AB447" s="2">
        <f t="shared" ca="1" si="201"/>
        <v>12</v>
      </c>
      <c r="AC447" s="2">
        <f t="shared" ca="1" si="202"/>
        <v>7</v>
      </c>
    </row>
    <row r="448" spans="1:29" x14ac:dyDescent="0.25">
      <c r="A448" s="14" t="str">
        <f t="shared" si="174"/>
        <v>VND-00448</v>
      </c>
      <c r="B448" s="5">
        <f t="shared" ca="1" si="175"/>
        <v>45207</v>
      </c>
      <c r="C448" s="2">
        <f t="shared" ca="1" si="176"/>
        <v>2023</v>
      </c>
      <c r="D448" s="2" t="str">
        <f t="shared" ca="1" si="177"/>
        <v>outubro</v>
      </c>
      <c r="E448" s="2" t="str">
        <f t="shared" ca="1" si="178"/>
        <v>2023/10</v>
      </c>
      <c r="F448" s="14" t="str">
        <f t="shared" ca="1" si="179"/>
        <v>CLI-9873</v>
      </c>
      <c r="G448" s="2" t="str">
        <f t="shared" ca="1" si="180"/>
        <v>Fernanda</v>
      </c>
      <c r="H448" s="2" t="str">
        <f t="shared" ca="1" si="181"/>
        <v>Novo</v>
      </c>
      <c r="I448" s="2" t="str">
        <f t="shared" ca="1" si="182"/>
        <v>Juliana</v>
      </c>
      <c r="J448" s="14" t="str">
        <f t="shared" ca="1" si="183"/>
        <v>VCL-9181</v>
      </c>
      <c r="K448" s="2" t="str">
        <f t="shared" ca="1" si="184"/>
        <v>BMW X1</v>
      </c>
      <c r="L448" s="2" t="str">
        <f t="shared" ca="1" si="185"/>
        <v>BMW</v>
      </c>
      <c r="M448" s="2" t="str">
        <f t="shared" ca="1" si="186"/>
        <v>Luxo</v>
      </c>
      <c r="N448" s="2">
        <f t="shared" ca="1" si="187"/>
        <v>2023</v>
      </c>
      <c r="O448" s="2" t="str">
        <f t="shared" ca="1" si="188"/>
        <v>Online</v>
      </c>
      <c r="P448" s="2" t="str">
        <f t="shared" ca="1" si="189"/>
        <v>Sul</v>
      </c>
      <c r="Q448" s="2" t="str">
        <f t="shared" ca="1" si="190"/>
        <v>PR</v>
      </c>
      <c r="R448" s="2" t="str">
        <f t="shared" ca="1" si="191"/>
        <v>Maringá</v>
      </c>
      <c r="S448" s="8">
        <f t="shared" ca="1" si="192"/>
        <v>3</v>
      </c>
      <c r="T448" s="10">
        <f t="shared" ca="1" si="193"/>
        <v>238464</v>
      </c>
      <c r="U448" s="10">
        <f t="shared" ca="1" si="194"/>
        <v>181232.64000000001</v>
      </c>
      <c r="V448" s="10">
        <f t="shared" ca="1" si="195"/>
        <v>715392</v>
      </c>
      <c r="W448" s="10">
        <f t="shared" ca="1" si="196"/>
        <v>543697.92000000004</v>
      </c>
      <c r="X448" s="10">
        <f t="shared" ca="1" si="197"/>
        <v>171694.07999999996</v>
      </c>
      <c r="Y448" s="12">
        <f t="shared" ca="1" si="198"/>
        <v>0.23999999999999994</v>
      </c>
      <c r="Z448" s="2" t="str">
        <f t="shared" ca="1" si="199"/>
        <v>Em negociação</v>
      </c>
      <c r="AA448" s="8">
        <f t="shared" ca="1" si="200"/>
        <v>29</v>
      </c>
      <c r="AB448" s="2">
        <f t="shared" ca="1" si="201"/>
        <v>3</v>
      </c>
      <c r="AC448" s="2">
        <f t="shared" ca="1" si="202"/>
        <v>3</v>
      </c>
    </row>
    <row r="449" spans="1:29" x14ac:dyDescent="0.25">
      <c r="A449" s="14" t="str">
        <f t="shared" si="174"/>
        <v>VND-00449</v>
      </c>
      <c r="B449" s="5">
        <f t="shared" ca="1" si="175"/>
        <v>45819</v>
      </c>
      <c r="C449" s="2">
        <f t="shared" ca="1" si="176"/>
        <v>2025</v>
      </c>
      <c r="D449" s="2" t="str">
        <f t="shared" ca="1" si="177"/>
        <v>junho</v>
      </c>
      <c r="E449" s="2" t="str">
        <f t="shared" ca="1" si="178"/>
        <v>2025/06</v>
      </c>
      <c r="F449" s="14" t="str">
        <f t="shared" ca="1" si="179"/>
        <v>CLI-1538</v>
      </c>
      <c r="G449" s="2" t="str">
        <f t="shared" ca="1" si="180"/>
        <v>Lucas</v>
      </c>
      <c r="H449" s="2" t="str">
        <f t="shared" ca="1" si="181"/>
        <v>Novo</v>
      </c>
      <c r="I449" s="2" t="str">
        <f t="shared" ca="1" si="182"/>
        <v>Carlos</v>
      </c>
      <c r="J449" s="14" t="str">
        <f t="shared" ca="1" si="183"/>
        <v>VCL-9804</v>
      </c>
      <c r="K449" s="2" t="str">
        <f t="shared" ca="1" si="184"/>
        <v>BMW X1</v>
      </c>
      <c r="L449" s="2" t="str">
        <f t="shared" ca="1" si="185"/>
        <v>BMW</v>
      </c>
      <c r="M449" s="2" t="str">
        <f t="shared" ca="1" si="186"/>
        <v>Luxo</v>
      </c>
      <c r="N449" s="2">
        <f t="shared" ca="1" si="187"/>
        <v>2017</v>
      </c>
      <c r="O449" s="2" t="str">
        <f t="shared" ca="1" si="188"/>
        <v>Loja</v>
      </c>
      <c r="P449" s="2" t="str">
        <f t="shared" ca="1" si="189"/>
        <v>Norte</v>
      </c>
      <c r="Q449" s="2" t="str">
        <f t="shared" ca="1" si="190"/>
        <v>PA</v>
      </c>
      <c r="R449" s="2" t="str">
        <f t="shared" ca="1" si="191"/>
        <v>Ananindeua</v>
      </c>
      <c r="S449" s="8">
        <f t="shared" ca="1" si="192"/>
        <v>8</v>
      </c>
      <c r="T449" s="10">
        <f t="shared" ca="1" si="193"/>
        <v>136325</v>
      </c>
      <c r="U449" s="10">
        <f t="shared" ca="1" si="194"/>
        <v>104970.25</v>
      </c>
      <c r="V449" s="10">
        <f t="shared" ca="1" si="195"/>
        <v>1090600</v>
      </c>
      <c r="W449" s="10">
        <f t="shared" ca="1" si="196"/>
        <v>839762</v>
      </c>
      <c r="X449" s="10">
        <f t="shared" ca="1" si="197"/>
        <v>250838</v>
      </c>
      <c r="Y449" s="12">
        <f t="shared" ca="1" si="198"/>
        <v>0.23</v>
      </c>
      <c r="Z449" s="2" t="str">
        <f t="shared" ca="1" si="199"/>
        <v>Em negociação</v>
      </c>
      <c r="AA449" s="8">
        <f t="shared" ca="1" si="200"/>
        <v>1</v>
      </c>
      <c r="AB449" s="2">
        <f t="shared" ca="1" si="201"/>
        <v>8</v>
      </c>
      <c r="AC449" s="2">
        <f t="shared" ca="1" si="202"/>
        <v>3</v>
      </c>
    </row>
    <row r="450" spans="1:29" x14ac:dyDescent="0.25">
      <c r="A450" s="14" t="str">
        <f t="shared" si="174"/>
        <v>VND-00450</v>
      </c>
      <c r="B450" s="5">
        <f t="shared" ca="1" si="175"/>
        <v>45715</v>
      </c>
      <c r="C450" s="2">
        <f t="shared" ca="1" si="176"/>
        <v>2025</v>
      </c>
      <c r="D450" s="2" t="str">
        <f t="shared" ca="1" si="177"/>
        <v>fevereiro</v>
      </c>
      <c r="E450" s="2" t="str">
        <f t="shared" ca="1" si="178"/>
        <v>2025/02</v>
      </c>
      <c r="F450" s="14" t="str">
        <f t="shared" ca="1" si="179"/>
        <v>CLI-4973</v>
      </c>
      <c r="G450" s="2" t="str">
        <f t="shared" ca="1" si="180"/>
        <v>Maria</v>
      </c>
      <c r="H450" s="2" t="str">
        <f t="shared" ca="1" si="181"/>
        <v>Novo</v>
      </c>
      <c r="I450" s="2" t="str">
        <f t="shared" ca="1" si="182"/>
        <v>Marcos</v>
      </c>
      <c r="J450" s="14" t="str">
        <f t="shared" ca="1" si="183"/>
        <v>VCL-2525</v>
      </c>
      <c r="K450" s="2" t="str">
        <f t="shared" ca="1" si="184"/>
        <v>Onix</v>
      </c>
      <c r="L450" s="2" t="str">
        <f t="shared" ca="1" si="185"/>
        <v>Chevrolet</v>
      </c>
      <c r="M450" s="2" t="str">
        <f t="shared" ca="1" si="186"/>
        <v>Popular</v>
      </c>
      <c r="N450" s="2">
        <f t="shared" ca="1" si="187"/>
        <v>2023</v>
      </c>
      <c r="O450" s="2" t="str">
        <f t="shared" ca="1" si="188"/>
        <v>Loja</v>
      </c>
      <c r="P450" s="2" t="str">
        <f t="shared" ca="1" si="189"/>
        <v>Sul</v>
      </c>
      <c r="Q450" s="2" t="str">
        <f t="shared" ca="1" si="190"/>
        <v>RS</v>
      </c>
      <c r="R450" s="2" t="str">
        <f t="shared" ca="1" si="191"/>
        <v>Pelotas</v>
      </c>
      <c r="S450" s="8">
        <f t="shared" ca="1" si="192"/>
        <v>8</v>
      </c>
      <c r="T450" s="10">
        <f t="shared" ca="1" si="193"/>
        <v>221417</v>
      </c>
      <c r="U450" s="10">
        <f t="shared" ca="1" si="194"/>
        <v>181561.94</v>
      </c>
      <c r="V450" s="10">
        <f t="shared" ca="1" si="195"/>
        <v>1771336</v>
      </c>
      <c r="W450" s="10">
        <f t="shared" ca="1" si="196"/>
        <v>1452495.52</v>
      </c>
      <c r="X450" s="10">
        <f t="shared" ca="1" si="197"/>
        <v>318840.48</v>
      </c>
      <c r="Y450" s="12">
        <f t="shared" ca="1" si="198"/>
        <v>0.18</v>
      </c>
      <c r="Z450" s="2" t="str">
        <f t="shared" ca="1" si="199"/>
        <v>Concluída</v>
      </c>
      <c r="AA450" s="8">
        <f t="shared" ca="1" si="200"/>
        <v>10</v>
      </c>
      <c r="AB450" s="2">
        <f t="shared" ca="1" si="201"/>
        <v>12</v>
      </c>
      <c r="AC450" s="2">
        <f t="shared" ca="1" si="202"/>
        <v>10</v>
      </c>
    </row>
    <row r="451" spans="1:29" x14ac:dyDescent="0.25">
      <c r="A451" s="14" t="str">
        <f t="shared" ref="A451:A500" si="203">"VND-"&amp;TEXT(ROW(A451),"00000")</f>
        <v>VND-00451</v>
      </c>
      <c r="B451" s="5">
        <f t="shared" ref="B451:B500" ca="1" si="204">DATE(RANDBETWEEN(2023,2025),RANDBETWEEN(1,12),RANDBETWEEN(1,28))</f>
        <v>45388</v>
      </c>
      <c r="C451" s="2">
        <f t="shared" ref="C451:C500" ca="1" si="205">YEAR(B451)</f>
        <v>2024</v>
      </c>
      <c r="D451" s="2" t="str">
        <f t="shared" ref="D451:D500" ca="1" si="206">TEXT(B451,"mmmm")</f>
        <v>abril</v>
      </c>
      <c r="E451" s="2" t="str">
        <f t="shared" ref="E451:E500" ca="1" si="207">YEAR(B451)&amp;"/"&amp;TEXT(MONTH(B451),"00")</f>
        <v>2024/04</v>
      </c>
      <c r="F451" s="14" t="str">
        <f t="shared" ref="F451:F500" ca="1" si="208">"CLI-"&amp;RANDBETWEEN(1000,9999)</f>
        <v>CLI-7065</v>
      </c>
      <c r="G451" s="2" t="str">
        <f t="shared" ref="G451:G500" ca="1" si="209">CHOOSE(RANDBETWEEN(1,8),
"João","Maria","Carlos","Ana",
"Lucas","Fernanda","Rafael","Juliana")</f>
        <v>Rafael</v>
      </c>
      <c r="H451" s="2" t="str">
        <f t="shared" ref="H451:H500" ca="1" si="210">IF(RANDBETWEEN(1,10)&gt;6,"Recorrente","Novo")</f>
        <v>Novo</v>
      </c>
      <c r="I451" s="2" t="str">
        <f t="shared" ref="I451:I500" ca="1" si="211">IF(P451="Sudeste",CHOOSE(RANDBETWEEN(1,5),"João","Maria","Pedro","Ana","Lucas"),
IF(P451="Sul",CHOOSE(RANDBETWEEN(1,5),"Bruno","Carla","Rafael","Juliana","Marcos"),
IF(P451="Nordeste",CHOOSE(RANDBETWEEN(1,5),"Diego","Fernanda","Roberto","Patricia","André"),
IF(P451="Norte",CHOOSE(RANDBETWEEN(1,5),"Carlos","Amanda","Ricardo","Tatiane","Felipe"),
IF(P451="Centro-Oeste",CHOOSE(RANDBETWEEN(1,5),"Gustavo","Camila","Vinicius","Larissa","Eduardo"),
"")))))</f>
        <v>Felipe</v>
      </c>
      <c r="J451" s="14" t="str">
        <f t="shared" ref="J451:J500" ca="1" si="212">"VCL-"&amp;RANDBETWEEN(1000,9999)</f>
        <v>VCL-7531</v>
      </c>
      <c r="K451" s="2" t="str">
        <f t="shared" ref="K451:K500" ca="1" si="213">CHOOSE(RANDBETWEEN(1,6),
"Onix","HB20","Corolla","Civic","Compass","BMW X1")</f>
        <v>Compass</v>
      </c>
      <c r="L451" s="2" t="str">
        <f t="shared" ref="L451:L500" ca="1" si="214">IF(OR(K451="Onix",K451="Tracker"),"Chevrolet",
IF(OR(K451="HB20"),"Hyundai",
IF(OR(K451="Corolla"),"Toyota",
IF(OR(K451="Civic"),"Honda",
IF(OR(K451="Compass"),"Jeep",
"BMW")))))</f>
        <v>Jeep</v>
      </c>
      <c r="M451" s="2" t="str">
        <f t="shared" ref="M451:M500" ca="1" si="215">IF(OR(K451="Onix",K451="HB20"),"Popular",
IF(OR(K451="Corolla",K451="Civic"),"SUV",
IF(K451="Compass","SUV",
IF(K451="BMW X1","Luxo","Esportivo"))))</f>
        <v>SUV</v>
      </c>
      <c r="N451" s="2">
        <f t="shared" ref="N451:N500" ca="1" si="216">IF(RANDBETWEEN(1,10)&lt;=7,RANDBETWEEN(2020,2024),RANDBETWEEN(2015,2019))</f>
        <v>2023</v>
      </c>
      <c r="O451" s="2" t="str">
        <f t="shared" ref="O451:O500" ca="1" si="217">IF(RANDBETWEEN(1,10)&lt;=7,"Loja","Online")</f>
        <v>Loja</v>
      </c>
      <c r="P451" s="2" t="str">
        <f t="shared" ref="P451:P500" ca="1" si="218">CHOOSE(RANDBETWEEN(1,5),"Sudeste","Sul","Nordeste","Norte","Centro-Oeste")</f>
        <v>Norte</v>
      </c>
      <c r="Q451" s="2" t="str">
        <f t="shared" ref="Q451:Q500" ca="1" si="219">IF(P451="Sudeste",CHOOSE(RANDBETWEEN(1,4),"SP","RJ","MG","ES"),
IF(P451="Sul",CHOOSE(RANDBETWEEN(1,3),"PR","SC","RS"),
IF(P451="Nordeste",CHOOSE(RANDBETWEEN(1,3),"BA","PE","CE"),
IF(P451="Centro-Oeste",CHOOSE(RANDBETWEEN(1,3),"GO","MT","DF"),
IF(P451="Norte",CHOOSE(RANDBETWEEN(1,2),"AM","PA"),
"GO")))))</f>
        <v>PA</v>
      </c>
      <c r="R451" s="2" t="str">
        <f t="shared" ref="R451:R500" ca="1" si="220">IF(Q451="SP",CHOOSE(RANDBETWEEN(1,5),"São Paulo","Campinas","Santos","Sorocaba","Ribeirão Preto"),
IF(Q451="RJ",CHOOSE(RANDBETWEEN(1,5),"Rio de Janeiro","Niterói","Duque de Caxias","Nova Iguaçu","Petrópolis"),
IF(Q451="MG",CHOOSE(RANDBETWEEN(1,5),"Belo Horizonte","Uberlândia","Contagem","Juiz de Fora","Betim"),
IF(Q451="ES",CHOOSE(RANDBETWEEN(1,5),"Vitória","Vila Velha","Serra","Cariacica","Linhares"),
IF(Q451="PR",CHOOSE(RANDBETWEEN(1,5),"Curitiba","Londrina","Maringá","Ponta Grossa","Cascavel"),
IF(Q451="SC",CHOOSE(RANDBETWEEN(1,5),"Florianópolis","Joinville","Blumenau","Itajaí","Chapecó"),
IF(Q451="RS",CHOOSE(RANDBETWEEN(1,5),"Porto Alegre","Caxias do Sul","Pelotas","Canoas","Santa Maria"),
IF(Q451="BA",CHOOSE(RANDBETWEEN(1,5),"Salvador","Feira de Santana","Vitória da Conquista","Camaçari","Ilhéus"),
IF(Q451="PE",CHOOSE(RANDBETWEEN(1,5),"Recife","Olinda","Jaboatão","Caruaru","Petrolina"),
IF(Q451="CE",CHOOSE(RANDBETWEEN(1,5),"Fortaleza","Caucaia","Juazeiro do Norte","Sobral","Maracanaú"),
IF(Q451="MT",CHOOSE(RANDBETWEEN(1,5),"Cuiabá","Várzea Grande","Rondonópolis","Sinop","Tangará da Serra"),
IF(Q451="DF",CHOOSE(RANDBETWEEN(1,5),"Brasília","Ceilândia","Taguatinga","Samambaia","Planaltina"),
IF(Q451="AM",CHOOSE(RANDBETWEEN(1,5),"Manaus","Parintins","Itacoatiara","Manacapuru","Coari"),
IF(Q451="PA",CHOOSE(RANDBETWEEN(1,5),"Belém","Ananindeua","Santarém","Marabá","Castanhal"),
IF(Q451="GO",CHOOSE(RANDBETWEEN(1,5),"Goiânia","Aparecida de Goiânia","Anápolis","Rio Verde","Luziânia"),
"")))))))))))))))</f>
        <v>Castanhal</v>
      </c>
      <c r="S451" s="8">
        <f t="shared" ref="S451:S500" ca="1" si="221">RANDBETWEEN(1,10)</f>
        <v>9</v>
      </c>
      <c r="T451" s="10">
        <f t="shared" ref="T451:T500" ca="1" si="222">RANDBETWEEN(60000,250000)</f>
        <v>118374</v>
      </c>
      <c r="U451" s="10">
        <f t="shared" ref="U451:U500" ca="1" si="223">T451*(RANDBETWEEN(70,85)/100)</f>
        <v>94699.200000000012</v>
      </c>
      <c r="V451" s="10">
        <f t="shared" ref="V451:V500" ca="1" si="224">S451*T451</f>
        <v>1065366</v>
      </c>
      <c r="W451" s="10">
        <f t="shared" ref="W451:W500" ca="1" si="225">S451*U451</f>
        <v>852292.8</v>
      </c>
      <c r="X451" s="10">
        <f t="shared" ref="X451:X500" ca="1" si="226">V451-W451</f>
        <v>213073.19999999995</v>
      </c>
      <c r="Y451" s="12">
        <f t="shared" ref="Y451:Y500" ca="1" si="227">X451/V451</f>
        <v>0.19999999999999996</v>
      </c>
      <c r="Z451" s="2" t="str">
        <f t="shared" ref="Z451:Z500" ca="1" si="228">CHOOSE(RANDBETWEEN(1,3),
"Concluída","Cancelada","Em negociação")</f>
        <v>Em negociação</v>
      </c>
      <c r="AA451" s="8">
        <f t="shared" ref="AA451:AA500" ca="1" si="229">RANDBETWEEN(1,30)</f>
        <v>20</v>
      </c>
      <c r="AB451" s="2">
        <f t="shared" ref="AB451:AB500" ca="1" si="230">IF(M451="Popular",RANDBETWEEN(10,30),
IF(M451="SUV",RANDBETWEEN(5,20),
IF(M451="Luxo",RANDBETWEEN(0,10),
RANDBETWEEN(2,15))))</f>
        <v>20</v>
      </c>
      <c r="AC451" s="2">
        <f t="shared" ref="AC451:AC500" ca="1" si="231">IF(M451="Popular",10,
IF(M451="SUV",7,
IF(M451="Luxo",3,5)))</f>
        <v>7</v>
      </c>
    </row>
    <row r="452" spans="1:29" x14ac:dyDescent="0.25">
      <c r="A452" s="14" t="str">
        <f t="shared" si="203"/>
        <v>VND-00452</v>
      </c>
      <c r="B452" s="5">
        <f t="shared" ca="1" si="204"/>
        <v>45407</v>
      </c>
      <c r="C452" s="2">
        <f t="shared" ca="1" si="205"/>
        <v>2024</v>
      </c>
      <c r="D452" s="2" t="str">
        <f t="shared" ca="1" si="206"/>
        <v>abril</v>
      </c>
      <c r="E452" s="2" t="str">
        <f t="shared" ca="1" si="207"/>
        <v>2024/04</v>
      </c>
      <c r="F452" s="14" t="str">
        <f t="shared" ca="1" si="208"/>
        <v>CLI-6125</v>
      </c>
      <c r="G452" s="2" t="str">
        <f t="shared" ca="1" si="209"/>
        <v>Maria</v>
      </c>
      <c r="H452" s="2" t="str">
        <f t="shared" ca="1" si="210"/>
        <v>Novo</v>
      </c>
      <c r="I452" s="2" t="str">
        <f t="shared" ca="1" si="211"/>
        <v>Larissa</v>
      </c>
      <c r="J452" s="14" t="str">
        <f t="shared" ca="1" si="212"/>
        <v>VCL-8791</v>
      </c>
      <c r="K452" s="2" t="str">
        <f t="shared" ca="1" si="213"/>
        <v>Compass</v>
      </c>
      <c r="L452" s="2" t="str">
        <f t="shared" ca="1" si="214"/>
        <v>Jeep</v>
      </c>
      <c r="M452" s="2" t="str">
        <f t="shared" ca="1" si="215"/>
        <v>SUV</v>
      </c>
      <c r="N452" s="2">
        <f t="shared" ca="1" si="216"/>
        <v>2024</v>
      </c>
      <c r="O452" s="2" t="str">
        <f t="shared" ca="1" si="217"/>
        <v>Loja</v>
      </c>
      <c r="P452" s="2" t="str">
        <f t="shared" ca="1" si="218"/>
        <v>Centro-Oeste</v>
      </c>
      <c r="Q452" s="2" t="str">
        <f t="shared" ca="1" si="219"/>
        <v>MT</v>
      </c>
      <c r="R452" s="2" t="str">
        <f t="shared" ca="1" si="220"/>
        <v>Várzea Grande</v>
      </c>
      <c r="S452" s="8">
        <f t="shared" ca="1" si="221"/>
        <v>1</v>
      </c>
      <c r="T452" s="10">
        <f t="shared" ca="1" si="222"/>
        <v>161181</v>
      </c>
      <c r="U452" s="10">
        <f t="shared" ca="1" si="223"/>
        <v>122497.56</v>
      </c>
      <c r="V452" s="10">
        <f t="shared" ca="1" si="224"/>
        <v>161181</v>
      </c>
      <c r="W452" s="10">
        <f t="shared" ca="1" si="225"/>
        <v>122497.56</v>
      </c>
      <c r="X452" s="10">
        <f t="shared" ca="1" si="226"/>
        <v>38683.440000000002</v>
      </c>
      <c r="Y452" s="12">
        <f t="shared" ca="1" si="227"/>
        <v>0.24000000000000002</v>
      </c>
      <c r="Z452" s="2" t="str">
        <f t="shared" ca="1" si="228"/>
        <v>Concluída</v>
      </c>
      <c r="AA452" s="8">
        <f t="shared" ca="1" si="229"/>
        <v>28</v>
      </c>
      <c r="AB452" s="2">
        <f t="shared" ca="1" si="230"/>
        <v>16</v>
      </c>
      <c r="AC452" s="2">
        <f t="shared" ca="1" si="231"/>
        <v>7</v>
      </c>
    </row>
    <row r="453" spans="1:29" x14ac:dyDescent="0.25">
      <c r="A453" s="14" t="str">
        <f t="shared" si="203"/>
        <v>VND-00453</v>
      </c>
      <c r="B453" s="5">
        <f t="shared" ca="1" si="204"/>
        <v>45496</v>
      </c>
      <c r="C453" s="2">
        <f t="shared" ca="1" si="205"/>
        <v>2024</v>
      </c>
      <c r="D453" s="2" t="str">
        <f t="shared" ca="1" si="206"/>
        <v>julho</v>
      </c>
      <c r="E453" s="2" t="str">
        <f t="shared" ca="1" si="207"/>
        <v>2024/07</v>
      </c>
      <c r="F453" s="14" t="str">
        <f t="shared" ca="1" si="208"/>
        <v>CLI-5103</v>
      </c>
      <c r="G453" s="2" t="str">
        <f t="shared" ca="1" si="209"/>
        <v>Rafael</v>
      </c>
      <c r="H453" s="2" t="str">
        <f t="shared" ca="1" si="210"/>
        <v>Novo</v>
      </c>
      <c r="I453" s="2" t="str">
        <f t="shared" ca="1" si="211"/>
        <v>Diego</v>
      </c>
      <c r="J453" s="14" t="str">
        <f t="shared" ca="1" si="212"/>
        <v>VCL-5942</v>
      </c>
      <c r="K453" s="2" t="str">
        <f t="shared" ca="1" si="213"/>
        <v>HB20</v>
      </c>
      <c r="L453" s="2" t="str">
        <f t="shared" ca="1" si="214"/>
        <v>Hyundai</v>
      </c>
      <c r="M453" s="2" t="str">
        <f t="shared" ca="1" si="215"/>
        <v>Popular</v>
      </c>
      <c r="N453" s="2">
        <f t="shared" ca="1" si="216"/>
        <v>2024</v>
      </c>
      <c r="O453" s="2" t="str">
        <f t="shared" ca="1" si="217"/>
        <v>Loja</v>
      </c>
      <c r="P453" s="2" t="str">
        <f t="shared" ca="1" si="218"/>
        <v>Nordeste</v>
      </c>
      <c r="Q453" s="2" t="str">
        <f t="shared" ca="1" si="219"/>
        <v>CE</v>
      </c>
      <c r="R453" s="2" t="str">
        <f t="shared" ca="1" si="220"/>
        <v>Caucaia</v>
      </c>
      <c r="S453" s="8">
        <f t="shared" ca="1" si="221"/>
        <v>5</v>
      </c>
      <c r="T453" s="10">
        <f t="shared" ca="1" si="222"/>
        <v>143266</v>
      </c>
      <c r="U453" s="10">
        <f t="shared" ca="1" si="223"/>
        <v>108882.16</v>
      </c>
      <c r="V453" s="10">
        <f t="shared" ca="1" si="224"/>
        <v>716330</v>
      </c>
      <c r="W453" s="10">
        <f t="shared" ca="1" si="225"/>
        <v>544410.80000000005</v>
      </c>
      <c r="X453" s="10">
        <f t="shared" ca="1" si="226"/>
        <v>171919.19999999995</v>
      </c>
      <c r="Y453" s="12">
        <f t="shared" ca="1" si="227"/>
        <v>0.23999999999999994</v>
      </c>
      <c r="Z453" s="2" t="str">
        <f t="shared" ca="1" si="228"/>
        <v>Em negociação</v>
      </c>
      <c r="AA453" s="8">
        <f t="shared" ca="1" si="229"/>
        <v>28</v>
      </c>
      <c r="AB453" s="2">
        <f t="shared" ca="1" si="230"/>
        <v>19</v>
      </c>
      <c r="AC453" s="2">
        <f t="shared" ca="1" si="231"/>
        <v>10</v>
      </c>
    </row>
    <row r="454" spans="1:29" x14ac:dyDescent="0.25">
      <c r="A454" s="14" t="str">
        <f t="shared" si="203"/>
        <v>VND-00454</v>
      </c>
      <c r="B454" s="5">
        <f t="shared" ca="1" si="204"/>
        <v>45670</v>
      </c>
      <c r="C454" s="2">
        <f t="shared" ca="1" si="205"/>
        <v>2025</v>
      </c>
      <c r="D454" s="2" t="str">
        <f t="shared" ca="1" si="206"/>
        <v>janeiro</v>
      </c>
      <c r="E454" s="2" t="str">
        <f t="shared" ca="1" si="207"/>
        <v>2025/01</v>
      </c>
      <c r="F454" s="14" t="str">
        <f t="shared" ca="1" si="208"/>
        <v>CLI-8130</v>
      </c>
      <c r="G454" s="2" t="str">
        <f t="shared" ca="1" si="209"/>
        <v>João</v>
      </c>
      <c r="H454" s="2" t="str">
        <f t="shared" ca="1" si="210"/>
        <v>Recorrente</v>
      </c>
      <c r="I454" s="2" t="str">
        <f t="shared" ca="1" si="211"/>
        <v>Juliana</v>
      </c>
      <c r="J454" s="14" t="str">
        <f t="shared" ca="1" si="212"/>
        <v>VCL-4027</v>
      </c>
      <c r="K454" s="2" t="str">
        <f t="shared" ca="1" si="213"/>
        <v>Compass</v>
      </c>
      <c r="L454" s="2" t="str">
        <f t="shared" ca="1" si="214"/>
        <v>Jeep</v>
      </c>
      <c r="M454" s="2" t="str">
        <f t="shared" ca="1" si="215"/>
        <v>SUV</v>
      </c>
      <c r="N454" s="2">
        <f t="shared" ca="1" si="216"/>
        <v>2018</v>
      </c>
      <c r="O454" s="2" t="str">
        <f t="shared" ca="1" si="217"/>
        <v>Loja</v>
      </c>
      <c r="P454" s="2" t="str">
        <f t="shared" ca="1" si="218"/>
        <v>Sul</v>
      </c>
      <c r="Q454" s="2" t="str">
        <f t="shared" ca="1" si="219"/>
        <v>PR</v>
      </c>
      <c r="R454" s="2" t="str">
        <f t="shared" ca="1" si="220"/>
        <v>Ponta Grossa</v>
      </c>
      <c r="S454" s="8">
        <f t="shared" ca="1" si="221"/>
        <v>5</v>
      </c>
      <c r="T454" s="10">
        <f t="shared" ca="1" si="222"/>
        <v>175353</v>
      </c>
      <c r="U454" s="10">
        <f t="shared" ca="1" si="223"/>
        <v>147296.51999999999</v>
      </c>
      <c r="V454" s="10">
        <f t="shared" ca="1" si="224"/>
        <v>876765</v>
      </c>
      <c r="W454" s="10">
        <f t="shared" ca="1" si="225"/>
        <v>736482.6</v>
      </c>
      <c r="X454" s="10">
        <f t="shared" ca="1" si="226"/>
        <v>140282.40000000002</v>
      </c>
      <c r="Y454" s="12">
        <f t="shared" ca="1" si="227"/>
        <v>0.16000000000000003</v>
      </c>
      <c r="Z454" s="2" t="str">
        <f t="shared" ca="1" si="228"/>
        <v>Concluída</v>
      </c>
      <c r="AA454" s="8">
        <f t="shared" ca="1" si="229"/>
        <v>11</v>
      </c>
      <c r="AB454" s="2">
        <f t="shared" ca="1" si="230"/>
        <v>15</v>
      </c>
      <c r="AC454" s="2">
        <f t="shared" ca="1" si="231"/>
        <v>7</v>
      </c>
    </row>
    <row r="455" spans="1:29" x14ac:dyDescent="0.25">
      <c r="A455" s="14" t="str">
        <f t="shared" si="203"/>
        <v>VND-00455</v>
      </c>
      <c r="B455" s="5">
        <f t="shared" ca="1" si="204"/>
        <v>45267</v>
      </c>
      <c r="C455" s="2">
        <f t="shared" ca="1" si="205"/>
        <v>2023</v>
      </c>
      <c r="D455" s="2" t="str">
        <f t="shared" ca="1" si="206"/>
        <v>dezembro</v>
      </c>
      <c r="E455" s="2" t="str">
        <f t="shared" ca="1" si="207"/>
        <v>2023/12</v>
      </c>
      <c r="F455" s="14" t="str">
        <f t="shared" ca="1" si="208"/>
        <v>CLI-6872</v>
      </c>
      <c r="G455" s="2" t="str">
        <f t="shared" ca="1" si="209"/>
        <v>Maria</v>
      </c>
      <c r="H455" s="2" t="str">
        <f t="shared" ca="1" si="210"/>
        <v>Recorrente</v>
      </c>
      <c r="I455" s="2" t="str">
        <f t="shared" ca="1" si="211"/>
        <v>Larissa</v>
      </c>
      <c r="J455" s="14" t="str">
        <f t="shared" ca="1" si="212"/>
        <v>VCL-7894</v>
      </c>
      <c r="K455" s="2" t="str">
        <f t="shared" ca="1" si="213"/>
        <v>BMW X1</v>
      </c>
      <c r="L455" s="2" t="str">
        <f t="shared" ca="1" si="214"/>
        <v>BMW</v>
      </c>
      <c r="M455" s="2" t="str">
        <f t="shared" ca="1" si="215"/>
        <v>Luxo</v>
      </c>
      <c r="N455" s="2">
        <f t="shared" ca="1" si="216"/>
        <v>2022</v>
      </c>
      <c r="O455" s="2" t="str">
        <f t="shared" ca="1" si="217"/>
        <v>Online</v>
      </c>
      <c r="P455" s="2" t="str">
        <f t="shared" ca="1" si="218"/>
        <v>Centro-Oeste</v>
      </c>
      <c r="Q455" s="2" t="str">
        <f t="shared" ca="1" si="219"/>
        <v>GO</v>
      </c>
      <c r="R455" s="2" t="str">
        <f t="shared" ca="1" si="220"/>
        <v>Anápolis</v>
      </c>
      <c r="S455" s="8">
        <f t="shared" ca="1" si="221"/>
        <v>6</v>
      </c>
      <c r="T455" s="10">
        <f t="shared" ca="1" si="222"/>
        <v>239524</v>
      </c>
      <c r="U455" s="10">
        <f t="shared" ca="1" si="223"/>
        <v>174852.52</v>
      </c>
      <c r="V455" s="10">
        <f t="shared" ca="1" si="224"/>
        <v>1437144</v>
      </c>
      <c r="W455" s="10">
        <f t="shared" ca="1" si="225"/>
        <v>1049115.1199999999</v>
      </c>
      <c r="X455" s="10">
        <f t="shared" ca="1" si="226"/>
        <v>388028.88000000012</v>
      </c>
      <c r="Y455" s="12">
        <f t="shared" ca="1" si="227"/>
        <v>0.27000000000000007</v>
      </c>
      <c r="Z455" s="2" t="str">
        <f t="shared" ca="1" si="228"/>
        <v>Cancelada</v>
      </c>
      <c r="AA455" s="8">
        <f t="shared" ca="1" si="229"/>
        <v>25</v>
      </c>
      <c r="AB455" s="2">
        <f t="shared" ca="1" si="230"/>
        <v>1</v>
      </c>
      <c r="AC455" s="2">
        <f t="shared" ca="1" si="231"/>
        <v>3</v>
      </c>
    </row>
    <row r="456" spans="1:29" x14ac:dyDescent="0.25">
      <c r="A456" s="14" t="str">
        <f t="shared" si="203"/>
        <v>VND-00456</v>
      </c>
      <c r="B456" s="5">
        <f t="shared" ca="1" si="204"/>
        <v>45109</v>
      </c>
      <c r="C456" s="2">
        <f t="shared" ca="1" si="205"/>
        <v>2023</v>
      </c>
      <c r="D456" s="2" t="str">
        <f t="shared" ca="1" si="206"/>
        <v>julho</v>
      </c>
      <c r="E456" s="2" t="str">
        <f t="shared" ca="1" si="207"/>
        <v>2023/07</v>
      </c>
      <c r="F456" s="14" t="str">
        <f t="shared" ca="1" si="208"/>
        <v>CLI-3517</v>
      </c>
      <c r="G456" s="2" t="str">
        <f t="shared" ca="1" si="209"/>
        <v>Ana</v>
      </c>
      <c r="H456" s="2" t="str">
        <f t="shared" ca="1" si="210"/>
        <v>Recorrente</v>
      </c>
      <c r="I456" s="2" t="str">
        <f t="shared" ca="1" si="211"/>
        <v>Pedro</v>
      </c>
      <c r="J456" s="14" t="str">
        <f t="shared" ca="1" si="212"/>
        <v>VCL-4407</v>
      </c>
      <c r="K456" s="2" t="str">
        <f t="shared" ca="1" si="213"/>
        <v>Civic</v>
      </c>
      <c r="L456" s="2" t="str">
        <f t="shared" ca="1" si="214"/>
        <v>Honda</v>
      </c>
      <c r="M456" s="2" t="str">
        <f t="shared" ca="1" si="215"/>
        <v>SUV</v>
      </c>
      <c r="N456" s="2">
        <f t="shared" ca="1" si="216"/>
        <v>2015</v>
      </c>
      <c r="O456" s="2" t="str">
        <f t="shared" ca="1" si="217"/>
        <v>Loja</v>
      </c>
      <c r="P456" s="2" t="str">
        <f t="shared" ca="1" si="218"/>
        <v>Sudeste</v>
      </c>
      <c r="Q456" s="2" t="str">
        <f t="shared" ca="1" si="219"/>
        <v>RJ</v>
      </c>
      <c r="R456" s="2" t="str">
        <f t="shared" ca="1" si="220"/>
        <v>Niterói</v>
      </c>
      <c r="S456" s="8">
        <f t="shared" ca="1" si="221"/>
        <v>6</v>
      </c>
      <c r="T456" s="10">
        <f t="shared" ca="1" si="222"/>
        <v>170075</v>
      </c>
      <c r="U456" s="10">
        <f t="shared" ca="1" si="223"/>
        <v>144563.75</v>
      </c>
      <c r="V456" s="10">
        <f t="shared" ca="1" si="224"/>
        <v>1020450</v>
      </c>
      <c r="W456" s="10">
        <f t="shared" ca="1" si="225"/>
        <v>867382.5</v>
      </c>
      <c r="X456" s="10">
        <f t="shared" ca="1" si="226"/>
        <v>153067.5</v>
      </c>
      <c r="Y456" s="12">
        <f t="shared" ca="1" si="227"/>
        <v>0.15</v>
      </c>
      <c r="Z456" s="2" t="str">
        <f t="shared" ca="1" si="228"/>
        <v>Cancelada</v>
      </c>
      <c r="AA456" s="8">
        <f t="shared" ca="1" si="229"/>
        <v>10</v>
      </c>
      <c r="AB456" s="2">
        <f t="shared" ca="1" si="230"/>
        <v>5</v>
      </c>
      <c r="AC456" s="2">
        <f t="shared" ca="1" si="231"/>
        <v>7</v>
      </c>
    </row>
    <row r="457" spans="1:29" x14ac:dyDescent="0.25">
      <c r="A457" s="14" t="str">
        <f t="shared" si="203"/>
        <v>VND-00457</v>
      </c>
      <c r="B457" s="5">
        <f t="shared" ca="1" si="204"/>
        <v>45632</v>
      </c>
      <c r="C457" s="2">
        <f t="shared" ca="1" si="205"/>
        <v>2024</v>
      </c>
      <c r="D457" s="2" t="str">
        <f t="shared" ca="1" si="206"/>
        <v>dezembro</v>
      </c>
      <c r="E457" s="2" t="str">
        <f t="shared" ca="1" si="207"/>
        <v>2024/12</v>
      </c>
      <c r="F457" s="14" t="str">
        <f t="shared" ca="1" si="208"/>
        <v>CLI-3057</v>
      </c>
      <c r="G457" s="2" t="str">
        <f t="shared" ca="1" si="209"/>
        <v>Maria</v>
      </c>
      <c r="H457" s="2" t="str">
        <f t="shared" ca="1" si="210"/>
        <v>Novo</v>
      </c>
      <c r="I457" s="2" t="str">
        <f t="shared" ca="1" si="211"/>
        <v>Maria</v>
      </c>
      <c r="J457" s="14" t="str">
        <f t="shared" ca="1" si="212"/>
        <v>VCL-2571</v>
      </c>
      <c r="K457" s="2" t="str">
        <f t="shared" ca="1" si="213"/>
        <v>Compass</v>
      </c>
      <c r="L457" s="2" t="str">
        <f t="shared" ca="1" si="214"/>
        <v>Jeep</v>
      </c>
      <c r="M457" s="2" t="str">
        <f t="shared" ca="1" si="215"/>
        <v>SUV</v>
      </c>
      <c r="N457" s="2">
        <f t="shared" ca="1" si="216"/>
        <v>2022</v>
      </c>
      <c r="O457" s="2" t="str">
        <f t="shared" ca="1" si="217"/>
        <v>Loja</v>
      </c>
      <c r="P457" s="2" t="str">
        <f t="shared" ca="1" si="218"/>
        <v>Sudeste</v>
      </c>
      <c r="Q457" s="2" t="str">
        <f t="shared" ca="1" si="219"/>
        <v>RJ</v>
      </c>
      <c r="R457" s="2" t="str">
        <f t="shared" ca="1" si="220"/>
        <v>Petrópolis</v>
      </c>
      <c r="S457" s="8">
        <f t="shared" ca="1" si="221"/>
        <v>9</v>
      </c>
      <c r="T457" s="10">
        <f t="shared" ca="1" si="222"/>
        <v>136381</v>
      </c>
      <c r="U457" s="10">
        <f t="shared" ca="1" si="223"/>
        <v>107740.99</v>
      </c>
      <c r="V457" s="10">
        <f t="shared" ca="1" si="224"/>
        <v>1227429</v>
      </c>
      <c r="W457" s="10">
        <f t="shared" ca="1" si="225"/>
        <v>969668.91</v>
      </c>
      <c r="X457" s="10">
        <f t="shared" ca="1" si="226"/>
        <v>257760.08999999997</v>
      </c>
      <c r="Y457" s="12">
        <f t="shared" ca="1" si="227"/>
        <v>0.20999999999999996</v>
      </c>
      <c r="Z457" s="2" t="str">
        <f t="shared" ca="1" si="228"/>
        <v>Cancelada</v>
      </c>
      <c r="AA457" s="8">
        <f t="shared" ca="1" si="229"/>
        <v>10</v>
      </c>
      <c r="AB457" s="2">
        <f t="shared" ca="1" si="230"/>
        <v>16</v>
      </c>
      <c r="AC457" s="2">
        <f t="shared" ca="1" si="231"/>
        <v>7</v>
      </c>
    </row>
    <row r="458" spans="1:29" x14ac:dyDescent="0.25">
      <c r="A458" s="14" t="str">
        <f t="shared" si="203"/>
        <v>VND-00458</v>
      </c>
      <c r="B458" s="5">
        <f t="shared" ca="1" si="204"/>
        <v>45937</v>
      </c>
      <c r="C458" s="2">
        <f t="shared" ca="1" si="205"/>
        <v>2025</v>
      </c>
      <c r="D458" s="2" t="str">
        <f t="shared" ca="1" si="206"/>
        <v>outubro</v>
      </c>
      <c r="E458" s="2" t="str">
        <f t="shared" ca="1" si="207"/>
        <v>2025/10</v>
      </c>
      <c r="F458" s="14" t="str">
        <f t="shared" ca="1" si="208"/>
        <v>CLI-4942</v>
      </c>
      <c r="G458" s="2" t="str">
        <f t="shared" ca="1" si="209"/>
        <v>Rafael</v>
      </c>
      <c r="H458" s="2" t="str">
        <f t="shared" ca="1" si="210"/>
        <v>Novo</v>
      </c>
      <c r="I458" s="2" t="str">
        <f t="shared" ca="1" si="211"/>
        <v>Rafael</v>
      </c>
      <c r="J458" s="14" t="str">
        <f t="shared" ca="1" si="212"/>
        <v>VCL-9215</v>
      </c>
      <c r="K458" s="2" t="str">
        <f t="shared" ca="1" si="213"/>
        <v>Onix</v>
      </c>
      <c r="L458" s="2" t="str">
        <f t="shared" ca="1" si="214"/>
        <v>Chevrolet</v>
      </c>
      <c r="M458" s="2" t="str">
        <f t="shared" ca="1" si="215"/>
        <v>Popular</v>
      </c>
      <c r="N458" s="2">
        <f t="shared" ca="1" si="216"/>
        <v>2023</v>
      </c>
      <c r="O458" s="2" t="str">
        <f t="shared" ca="1" si="217"/>
        <v>Loja</v>
      </c>
      <c r="P458" s="2" t="str">
        <f t="shared" ca="1" si="218"/>
        <v>Sul</v>
      </c>
      <c r="Q458" s="2" t="str">
        <f t="shared" ca="1" si="219"/>
        <v>SC</v>
      </c>
      <c r="R458" s="2" t="str">
        <f t="shared" ca="1" si="220"/>
        <v>Itajaí</v>
      </c>
      <c r="S458" s="8">
        <f t="shared" ca="1" si="221"/>
        <v>3</v>
      </c>
      <c r="T458" s="10">
        <f t="shared" ca="1" si="222"/>
        <v>208562</v>
      </c>
      <c r="U458" s="10">
        <f t="shared" ca="1" si="223"/>
        <v>171020.84</v>
      </c>
      <c r="V458" s="10">
        <f t="shared" ca="1" si="224"/>
        <v>625686</v>
      </c>
      <c r="W458" s="10">
        <f t="shared" ca="1" si="225"/>
        <v>513062.52</v>
      </c>
      <c r="X458" s="10">
        <f t="shared" ca="1" si="226"/>
        <v>112623.47999999998</v>
      </c>
      <c r="Y458" s="12">
        <f t="shared" ca="1" si="227"/>
        <v>0.17999999999999997</v>
      </c>
      <c r="Z458" s="2" t="str">
        <f t="shared" ca="1" si="228"/>
        <v>Cancelada</v>
      </c>
      <c r="AA458" s="8">
        <f t="shared" ca="1" si="229"/>
        <v>15</v>
      </c>
      <c r="AB458" s="2">
        <f t="shared" ca="1" si="230"/>
        <v>27</v>
      </c>
      <c r="AC458" s="2">
        <f t="shared" ca="1" si="231"/>
        <v>10</v>
      </c>
    </row>
    <row r="459" spans="1:29" x14ac:dyDescent="0.25">
      <c r="A459" s="14" t="str">
        <f t="shared" si="203"/>
        <v>VND-00459</v>
      </c>
      <c r="B459" s="5">
        <f t="shared" ca="1" si="204"/>
        <v>45909</v>
      </c>
      <c r="C459" s="2">
        <f t="shared" ca="1" si="205"/>
        <v>2025</v>
      </c>
      <c r="D459" s="2" t="str">
        <f t="shared" ca="1" si="206"/>
        <v>setembro</v>
      </c>
      <c r="E459" s="2" t="str">
        <f t="shared" ca="1" si="207"/>
        <v>2025/09</v>
      </c>
      <c r="F459" s="14" t="str">
        <f t="shared" ca="1" si="208"/>
        <v>CLI-9308</v>
      </c>
      <c r="G459" s="2" t="str">
        <f t="shared" ca="1" si="209"/>
        <v>Maria</v>
      </c>
      <c r="H459" s="2" t="str">
        <f t="shared" ca="1" si="210"/>
        <v>Novo</v>
      </c>
      <c r="I459" s="2" t="str">
        <f t="shared" ca="1" si="211"/>
        <v>Eduardo</v>
      </c>
      <c r="J459" s="14" t="str">
        <f t="shared" ca="1" si="212"/>
        <v>VCL-6313</v>
      </c>
      <c r="K459" s="2" t="str">
        <f t="shared" ca="1" si="213"/>
        <v>Compass</v>
      </c>
      <c r="L459" s="2" t="str">
        <f t="shared" ca="1" si="214"/>
        <v>Jeep</v>
      </c>
      <c r="M459" s="2" t="str">
        <f t="shared" ca="1" si="215"/>
        <v>SUV</v>
      </c>
      <c r="N459" s="2">
        <f t="shared" ca="1" si="216"/>
        <v>2023</v>
      </c>
      <c r="O459" s="2" t="str">
        <f t="shared" ca="1" si="217"/>
        <v>Loja</v>
      </c>
      <c r="P459" s="2" t="str">
        <f t="shared" ca="1" si="218"/>
        <v>Centro-Oeste</v>
      </c>
      <c r="Q459" s="2" t="str">
        <f t="shared" ca="1" si="219"/>
        <v>GO</v>
      </c>
      <c r="R459" s="2" t="str">
        <f t="shared" ca="1" si="220"/>
        <v>Rio Verde</v>
      </c>
      <c r="S459" s="8">
        <f t="shared" ca="1" si="221"/>
        <v>8</v>
      </c>
      <c r="T459" s="10">
        <f t="shared" ca="1" si="222"/>
        <v>215045</v>
      </c>
      <c r="U459" s="10">
        <f t="shared" ca="1" si="223"/>
        <v>165584.65</v>
      </c>
      <c r="V459" s="10">
        <f t="shared" ca="1" si="224"/>
        <v>1720360</v>
      </c>
      <c r="W459" s="10">
        <f t="shared" ca="1" si="225"/>
        <v>1324677.2</v>
      </c>
      <c r="X459" s="10">
        <f t="shared" ca="1" si="226"/>
        <v>395682.80000000005</v>
      </c>
      <c r="Y459" s="12">
        <f t="shared" ca="1" si="227"/>
        <v>0.23000000000000004</v>
      </c>
      <c r="Z459" s="2" t="str">
        <f t="shared" ca="1" si="228"/>
        <v>Em negociação</v>
      </c>
      <c r="AA459" s="8">
        <f t="shared" ca="1" si="229"/>
        <v>2</v>
      </c>
      <c r="AB459" s="2">
        <f t="shared" ca="1" si="230"/>
        <v>12</v>
      </c>
      <c r="AC459" s="2">
        <f t="shared" ca="1" si="231"/>
        <v>7</v>
      </c>
    </row>
    <row r="460" spans="1:29" x14ac:dyDescent="0.25">
      <c r="A460" s="14" t="str">
        <f t="shared" si="203"/>
        <v>VND-00460</v>
      </c>
      <c r="B460" s="5">
        <f t="shared" ca="1" si="204"/>
        <v>45584</v>
      </c>
      <c r="C460" s="2">
        <f t="shared" ca="1" si="205"/>
        <v>2024</v>
      </c>
      <c r="D460" s="2" t="str">
        <f t="shared" ca="1" si="206"/>
        <v>outubro</v>
      </c>
      <c r="E460" s="2" t="str">
        <f t="shared" ca="1" si="207"/>
        <v>2024/10</v>
      </c>
      <c r="F460" s="14" t="str">
        <f t="shared" ca="1" si="208"/>
        <v>CLI-5235</v>
      </c>
      <c r="G460" s="2" t="str">
        <f t="shared" ca="1" si="209"/>
        <v>Ana</v>
      </c>
      <c r="H460" s="2" t="str">
        <f t="shared" ca="1" si="210"/>
        <v>Novo</v>
      </c>
      <c r="I460" s="2" t="str">
        <f t="shared" ca="1" si="211"/>
        <v>Maria</v>
      </c>
      <c r="J460" s="14" t="str">
        <f t="shared" ca="1" si="212"/>
        <v>VCL-5476</v>
      </c>
      <c r="K460" s="2" t="str">
        <f t="shared" ca="1" si="213"/>
        <v>Compass</v>
      </c>
      <c r="L460" s="2" t="str">
        <f t="shared" ca="1" si="214"/>
        <v>Jeep</v>
      </c>
      <c r="M460" s="2" t="str">
        <f t="shared" ca="1" si="215"/>
        <v>SUV</v>
      </c>
      <c r="N460" s="2">
        <f t="shared" ca="1" si="216"/>
        <v>2019</v>
      </c>
      <c r="O460" s="2" t="str">
        <f t="shared" ca="1" si="217"/>
        <v>Loja</v>
      </c>
      <c r="P460" s="2" t="str">
        <f t="shared" ca="1" si="218"/>
        <v>Sudeste</v>
      </c>
      <c r="Q460" s="2" t="str">
        <f t="shared" ca="1" si="219"/>
        <v>ES</v>
      </c>
      <c r="R460" s="2" t="str">
        <f t="shared" ca="1" si="220"/>
        <v>Vitória</v>
      </c>
      <c r="S460" s="8">
        <f t="shared" ca="1" si="221"/>
        <v>5</v>
      </c>
      <c r="T460" s="10">
        <f t="shared" ca="1" si="222"/>
        <v>129231</v>
      </c>
      <c r="U460" s="10">
        <f t="shared" ca="1" si="223"/>
        <v>93046.319999999992</v>
      </c>
      <c r="V460" s="10">
        <f t="shared" ca="1" si="224"/>
        <v>646155</v>
      </c>
      <c r="W460" s="10">
        <f t="shared" ca="1" si="225"/>
        <v>465231.6</v>
      </c>
      <c r="X460" s="10">
        <f t="shared" ca="1" si="226"/>
        <v>180923.40000000002</v>
      </c>
      <c r="Y460" s="12">
        <f t="shared" ca="1" si="227"/>
        <v>0.28000000000000003</v>
      </c>
      <c r="Z460" s="2" t="str">
        <f t="shared" ca="1" si="228"/>
        <v>Concluída</v>
      </c>
      <c r="AA460" s="8">
        <f t="shared" ca="1" si="229"/>
        <v>11</v>
      </c>
      <c r="AB460" s="2">
        <f t="shared" ca="1" si="230"/>
        <v>6</v>
      </c>
      <c r="AC460" s="2">
        <f t="shared" ca="1" si="231"/>
        <v>7</v>
      </c>
    </row>
    <row r="461" spans="1:29" x14ac:dyDescent="0.25">
      <c r="A461" s="14" t="str">
        <f t="shared" si="203"/>
        <v>VND-00461</v>
      </c>
      <c r="B461" s="5">
        <f t="shared" ca="1" si="204"/>
        <v>45743</v>
      </c>
      <c r="C461" s="2">
        <f t="shared" ca="1" si="205"/>
        <v>2025</v>
      </c>
      <c r="D461" s="2" t="str">
        <f t="shared" ca="1" si="206"/>
        <v>março</v>
      </c>
      <c r="E461" s="2" t="str">
        <f t="shared" ca="1" si="207"/>
        <v>2025/03</v>
      </c>
      <c r="F461" s="14" t="str">
        <f t="shared" ca="1" si="208"/>
        <v>CLI-5206</v>
      </c>
      <c r="G461" s="2" t="str">
        <f t="shared" ca="1" si="209"/>
        <v>Lucas</v>
      </c>
      <c r="H461" s="2" t="str">
        <f t="shared" ca="1" si="210"/>
        <v>Recorrente</v>
      </c>
      <c r="I461" s="2" t="str">
        <f t="shared" ca="1" si="211"/>
        <v>Vinicius</v>
      </c>
      <c r="J461" s="14" t="str">
        <f t="shared" ca="1" si="212"/>
        <v>VCL-2344</v>
      </c>
      <c r="K461" s="2" t="str">
        <f t="shared" ca="1" si="213"/>
        <v>Onix</v>
      </c>
      <c r="L461" s="2" t="str">
        <f t="shared" ca="1" si="214"/>
        <v>Chevrolet</v>
      </c>
      <c r="M461" s="2" t="str">
        <f t="shared" ca="1" si="215"/>
        <v>Popular</v>
      </c>
      <c r="N461" s="2">
        <f t="shared" ca="1" si="216"/>
        <v>2021</v>
      </c>
      <c r="O461" s="2" t="str">
        <f t="shared" ca="1" si="217"/>
        <v>Loja</v>
      </c>
      <c r="P461" s="2" t="str">
        <f t="shared" ca="1" si="218"/>
        <v>Centro-Oeste</v>
      </c>
      <c r="Q461" s="2" t="str">
        <f t="shared" ca="1" si="219"/>
        <v>DF</v>
      </c>
      <c r="R461" s="2" t="str">
        <f t="shared" ca="1" si="220"/>
        <v>Taguatinga</v>
      </c>
      <c r="S461" s="8">
        <f t="shared" ca="1" si="221"/>
        <v>3</v>
      </c>
      <c r="T461" s="10">
        <f t="shared" ca="1" si="222"/>
        <v>88106</v>
      </c>
      <c r="U461" s="10">
        <f t="shared" ca="1" si="223"/>
        <v>68722.680000000008</v>
      </c>
      <c r="V461" s="10">
        <f t="shared" ca="1" si="224"/>
        <v>264318</v>
      </c>
      <c r="W461" s="10">
        <f t="shared" ca="1" si="225"/>
        <v>206168.04000000004</v>
      </c>
      <c r="X461" s="10">
        <f t="shared" ca="1" si="226"/>
        <v>58149.959999999963</v>
      </c>
      <c r="Y461" s="12">
        <f t="shared" ca="1" si="227"/>
        <v>0.21999999999999986</v>
      </c>
      <c r="Z461" s="2" t="str">
        <f t="shared" ca="1" si="228"/>
        <v>Concluída</v>
      </c>
      <c r="AA461" s="8">
        <f t="shared" ca="1" si="229"/>
        <v>6</v>
      </c>
      <c r="AB461" s="2">
        <f t="shared" ca="1" si="230"/>
        <v>29</v>
      </c>
      <c r="AC461" s="2">
        <f t="shared" ca="1" si="231"/>
        <v>10</v>
      </c>
    </row>
    <row r="462" spans="1:29" x14ac:dyDescent="0.25">
      <c r="A462" s="14" t="str">
        <f t="shared" si="203"/>
        <v>VND-00462</v>
      </c>
      <c r="B462" s="5">
        <f t="shared" ca="1" si="204"/>
        <v>45664</v>
      </c>
      <c r="C462" s="2">
        <f t="shared" ca="1" si="205"/>
        <v>2025</v>
      </c>
      <c r="D462" s="2" t="str">
        <f t="shared" ca="1" si="206"/>
        <v>janeiro</v>
      </c>
      <c r="E462" s="2" t="str">
        <f t="shared" ca="1" si="207"/>
        <v>2025/01</v>
      </c>
      <c r="F462" s="14" t="str">
        <f t="shared" ca="1" si="208"/>
        <v>CLI-5943</v>
      </c>
      <c r="G462" s="2" t="str">
        <f t="shared" ca="1" si="209"/>
        <v>Fernanda</v>
      </c>
      <c r="H462" s="2" t="str">
        <f t="shared" ca="1" si="210"/>
        <v>Novo</v>
      </c>
      <c r="I462" s="2" t="str">
        <f t="shared" ca="1" si="211"/>
        <v>Eduardo</v>
      </c>
      <c r="J462" s="14" t="str">
        <f t="shared" ca="1" si="212"/>
        <v>VCL-9548</v>
      </c>
      <c r="K462" s="2" t="str">
        <f t="shared" ca="1" si="213"/>
        <v>Corolla</v>
      </c>
      <c r="L462" s="2" t="str">
        <f t="shared" ca="1" si="214"/>
        <v>Toyota</v>
      </c>
      <c r="M462" s="2" t="str">
        <f t="shared" ca="1" si="215"/>
        <v>SUV</v>
      </c>
      <c r="N462" s="2">
        <f t="shared" ca="1" si="216"/>
        <v>2018</v>
      </c>
      <c r="O462" s="2" t="str">
        <f t="shared" ca="1" si="217"/>
        <v>Loja</v>
      </c>
      <c r="P462" s="2" t="str">
        <f t="shared" ca="1" si="218"/>
        <v>Centro-Oeste</v>
      </c>
      <c r="Q462" s="2" t="str">
        <f t="shared" ca="1" si="219"/>
        <v>DF</v>
      </c>
      <c r="R462" s="2" t="str">
        <f t="shared" ca="1" si="220"/>
        <v>Samambaia</v>
      </c>
      <c r="S462" s="8">
        <f t="shared" ca="1" si="221"/>
        <v>7</v>
      </c>
      <c r="T462" s="10">
        <f t="shared" ca="1" si="222"/>
        <v>209547</v>
      </c>
      <c r="U462" s="10">
        <f t="shared" ca="1" si="223"/>
        <v>159255.72</v>
      </c>
      <c r="V462" s="10">
        <f t="shared" ca="1" si="224"/>
        <v>1466829</v>
      </c>
      <c r="W462" s="10">
        <f t="shared" ca="1" si="225"/>
        <v>1114790.04</v>
      </c>
      <c r="X462" s="10">
        <f t="shared" ca="1" si="226"/>
        <v>352038.95999999996</v>
      </c>
      <c r="Y462" s="12">
        <f t="shared" ca="1" si="227"/>
        <v>0.23999999999999996</v>
      </c>
      <c r="Z462" s="2" t="str">
        <f t="shared" ca="1" si="228"/>
        <v>Concluída</v>
      </c>
      <c r="AA462" s="8">
        <f t="shared" ca="1" si="229"/>
        <v>25</v>
      </c>
      <c r="AB462" s="2">
        <f t="shared" ca="1" si="230"/>
        <v>5</v>
      </c>
      <c r="AC462" s="2">
        <f t="shared" ca="1" si="231"/>
        <v>7</v>
      </c>
    </row>
    <row r="463" spans="1:29" x14ac:dyDescent="0.25">
      <c r="A463" s="14" t="str">
        <f t="shared" si="203"/>
        <v>VND-00463</v>
      </c>
      <c r="B463" s="5">
        <f t="shared" ca="1" si="204"/>
        <v>45862</v>
      </c>
      <c r="C463" s="2">
        <f t="shared" ca="1" si="205"/>
        <v>2025</v>
      </c>
      <c r="D463" s="2" t="str">
        <f t="shared" ca="1" si="206"/>
        <v>julho</v>
      </c>
      <c r="E463" s="2" t="str">
        <f t="shared" ca="1" si="207"/>
        <v>2025/07</v>
      </c>
      <c r="F463" s="14" t="str">
        <f t="shared" ca="1" si="208"/>
        <v>CLI-3757</v>
      </c>
      <c r="G463" s="2" t="str">
        <f t="shared" ca="1" si="209"/>
        <v>João</v>
      </c>
      <c r="H463" s="2" t="str">
        <f t="shared" ca="1" si="210"/>
        <v>Novo</v>
      </c>
      <c r="I463" s="2" t="str">
        <f t="shared" ca="1" si="211"/>
        <v>Gustavo</v>
      </c>
      <c r="J463" s="14" t="str">
        <f t="shared" ca="1" si="212"/>
        <v>VCL-4997</v>
      </c>
      <c r="K463" s="2" t="str">
        <f t="shared" ca="1" si="213"/>
        <v>Onix</v>
      </c>
      <c r="L463" s="2" t="str">
        <f t="shared" ca="1" si="214"/>
        <v>Chevrolet</v>
      </c>
      <c r="M463" s="2" t="str">
        <f t="shared" ca="1" si="215"/>
        <v>Popular</v>
      </c>
      <c r="N463" s="2">
        <f t="shared" ca="1" si="216"/>
        <v>2020</v>
      </c>
      <c r="O463" s="2" t="str">
        <f t="shared" ca="1" si="217"/>
        <v>Loja</v>
      </c>
      <c r="P463" s="2" t="str">
        <f t="shared" ca="1" si="218"/>
        <v>Centro-Oeste</v>
      </c>
      <c r="Q463" s="2" t="str">
        <f t="shared" ca="1" si="219"/>
        <v>MT</v>
      </c>
      <c r="R463" s="2" t="str">
        <f t="shared" ca="1" si="220"/>
        <v>Rondonópolis</v>
      </c>
      <c r="S463" s="8">
        <f t="shared" ca="1" si="221"/>
        <v>5</v>
      </c>
      <c r="T463" s="10">
        <f t="shared" ca="1" si="222"/>
        <v>167648</v>
      </c>
      <c r="U463" s="10">
        <f t="shared" ca="1" si="223"/>
        <v>140824.32000000001</v>
      </c>
      <c r="V463" s="10">
        <f t="shared" ca="1" si="224"/>
        <v>838240</v>
      </c>
      <c r="W463" s="10">
        <f t="shared" ca="1" si="225"/>
        <v>704121.60000000009</v>
      </c>
      <c r="X463" s="10">
        <f t="shared" ca="1" si="226"/>
        <v>134118.39999999991</v>
      </c>
      <c r="Y463" s="12">
        <f t="shared" ca="1" si="227"/>
        <v>0.15999999999999989</v>
      </c>
      <c r="Z463" s="2" t="str">
        <f t="shared" ca="1" si="228"/>
        <v>Concluída</v>
      </c>
      <c r="AA463" s="8">
        <f t="shared" ca="1" si="229"/>
        <v>16</v>
      </c>
      <c r="AB463" s="2">
        <f t="shared" ca="1" si="230"/>
        <v>17</v>
      </c>
      <c r="AC463" s="2">
        <f t="shared" ca="1" si="231"/>
        <v>10</v>
      </c>
    </row>
    <row r="464" spans="1:29" x14ac:dyDescent="0.25">
      <c r="A464" s="14" t="str">
        <f t="shared" si="203"/>
        <v>VND-00464</v>
      </c>
      <c r="B464" s="5">
        <f t="shared" ca="1" si="204"/>
        <v>45247</v>
      </c>
      <c r="C464" s="2">
        <f t="shared" ca="1" si="205"/>
        <v>2023</v>
      </c>
      <c r="D464" s="2" t="str">
        <f t="shared" ca="1" si="206"/>
        <v>novembro</v>
      </c>
      <c r="E464" s="2" t="str">
        <f t="shared" ca="1" si="207"/>
        <v>2023/11</v>
      </c>
      <c r="F464" s="14" t="str">
        <f t="shared" ca="1" si="208"/>
        <v>CLI-9407</v>
      </c>
      <c r="G464" s="2" t="str">
        <f t="shared" ca="1" si="209"/>
        <v>Rafael</v>
      </c>
      <c r="H464" s="2" t="str">
        <f t="shared" ca="1" si="210"/>
        <v>Novo</v>
      </c>
      <c r="I464" s="2" t="str">
        <f t="shared" ca="1" si="211"/>
        <v>Felipe</v>
      </c>
      <c r="J464" s="14" t="str">
        <f t="shared" ca="1" si="212"/>
        <v>VCL-5460</v>
      </c>
      <c r="K464" s="2" t="str">
        <f t="shared" ca="1" si="213"/>
        <v>Corolla</v>
      </c>
      <c r="L464" s="2" t="str">
        <f t="shared" ca="1" si="214"/>
        <v>Toyota</v>
      </c>
      <c r="M464" s="2" t="str">
        <f t="shared" ca="1" si="215"/>
        <v>SUV</v>
      </c>
      <c r="N464" s="2">
        <f t="shared" ca="1" si="216"/>
        <v>2022</v>
      </c>
      <c r="O464" s="2" t="str">
        <f t="shared" ca="1" si="217"/>
        <v>Loja</v>
      </c>
      <c r="P464" s="2" t="str">
        <f t="shared" ca="1" si="218"/>
        <v>Norte</v>
      </c>
      <c r="Q464" s="2" t="str">
        <f t="shared" ca="1" si="219"/>
        <v>AM</v>
      </c>
      <c r="R464" s="2" t="str">
        <f t="shared" ca="1" si="220"/>
        <v>Manaus</v>
      </c>
      <c r="S464" s="8">
        <f t="shared" ca="1" si="221"/>
        <v>5</v>
      </c>
      <c r="T464" s="10">
        <f t="shared" ca="1" si="222"/>
        <v>249094</v>
      </c>
      <c r="U464" s="10">
        <f t="shared" ca="1" si="223"/>
        <v>184329.56</v>
      </c>
      <c r="V464" s="10">
        <f t="shared" ca="1" si="224"/>
        <v>1245470</v>
      </c>
      <c r="W464" s="10">
        <f t="shared" ca="1" si="225"/>
        <v>921647.8</v>
      </c>
      <c r="X464" s="10">
        <f t="shared" ca="1" si="226"/>
        <v>323822.19999999995</v>
      </c>
      <c r="Y464" s="12">
        <f t="shared" ca="1" si="227"/>
        <v>0.25999999999999995</v>
      </c>
      <c r="Z464" s="2" t="str">
        <f t="shared" ca="1" si="228"/>
        <v>Concluída</v>
      </c>
      <c r="AA464" s="8">
        <f t="shared" ca="1" si="229"/>
        <v>28</v>
      </c>
      <c r="AB464" s="2">
        <f t="shared" ca="1" si="230"/>
        <v>14</v>
      </c>
      <c r="AC464" s="2">
        <f t="shared" ca="1" si="231"/>
        <v>7</v>
      </c>
    </row>
    <row r="465" spans="1:29" x14ac:dyDescent="0.25">
      <c r="A465" s="14" t="str">
        <f t="shared" si="203"/>
        <v>VND-00465</v>
      </c>
      <c r="B465" s="5">
        <f t="shared" ca="1" si="204"/>
        <v>45391</v>
      </c>
      <c r="C465" s="2">
        <f t="shared" ca="1" si="205"/>
        <v>2024</v>
      </c>
      <c r="D465" s="2" t="str">
        <f t="shared" ca="1" si="206"/>
        <v>abril</v>
      </c>
      <c r="E465" s="2" t="str">
        <f t="shared" ca="1" si="207"/>
        <v>2024/04</v>
      </c>
      <c r="F465" s="14" t="str">
        <f t="shared" ca="1" si="208"/>
        <v>CLI-1744</v>
      </c>
      <c r="G465" s="2" t="str">
        <f t="shared" ca="1" si="209"/>
        <v>João</v>
      </c>
      <c r="H465" s="2" t="str">
        <f t="shared" ca="1" si="210"/>
        <v>Novo</v>
      </c>
      <c r="I465" s="2" t="str">
        <f t="shared" ca="1" si="211"/>
        <v>Carlos</v>
      </c>
      <c r="J465" s="14" t="str">
        <f t="shared" ca="1" si="212"/>
        <v>VCL-8141</v>
      </c>
      <c r="K465" s="2" t="str">
        <f t="shared" ca="1" si="213"/>
        <v>BMW X1</v>
      </c>
      <c r="L465" s="2" t="str">
        <f t="shared" ca="1" si="214"/>
        <v>BMW</v>
      </c>
      <c r="M465" s="2" t="str">
        <f t="shared" ca="1" si="215"/>
        <v>Luxo</v>
      </c>
      <c r="N465" s="2">
        <f t="shared" ca="1" si="216"/>
        <v>2023</v>
      </c>
      <c r="O465" s="2" t="str">
        <f t="shared" ca="1" si="217"/>
        <v>Loja</v>
      </c>
      <c r="P465" s="2" t="str">
        <f t="shared" ca="1" si="218"/>
        <v>Norte</v>
      </c>
      <c r="Q465" s="2" t="str">
        <f t="shared" ca="1" si="219"/>
        <v>AM</v>
      </c>
      <c r="R465" s="2" t="str">
        <f t="shared" ca="1" si="220"/>
        <v>Coari</v>
      </c>
      <c r="S465" s="8">
        <f t="shared" ca="1" si="221"/>
        <v>4</v>
      </c>
      <c r="T465" s="10">
        <f t="shared" ca="1" si="222"/>
        <v>204572</v>
      </c>
      <c r="U465" s="10">
        <f t="shared" ca="1" si="223"/>
        <v>145246.12</v>
      </c>
      <c r="V465" s="10">
        <f t="shared" ca="1" si="224"/>
        <v>818288</v>
      </c>
      <c r="W465" s="10">
        <f t="shared" ca="1" si="225"/>
        <v>580984.48</v>
      </c>
      <c r="X465" s="10">
        <f t="shared" ca="1" si="226"/>
        <v>237303.52000000002</v>
      </c>
      <c r="Y465" s="12">
        <f t="shared" ca="1" si="227"/>
        <v>0.29000000000000004</v>
      </c>
      <c r="Z465" s="2" t="str">
        <f t="shared" ca="1" si="228"/>
        <v>Concluída</v>
      </c>
      <c r="AA465" s="8">
        <f t="shared" ca="1" si="229"/>
        <v>13</v>
      </c>
      <c r="AB465" s="2">
        <f t="shared" ca="1" si="230"/>
        <v>9</v>
      </c>
      <c r="AC465" s="2">
        <f t="shared" ca="1" si="231"/>
        <v>3</v>
      </c>
    </row>
    <row r="466" spans="1:29" x14ac:dyDescent="0.25">
      <c r="A466" s="14" t="str">
        <f t="shared" si="203"/>
        <v>VND-00466</v>
      </c>
      <c r="B466" s="5">
        <f t="shared" ca="1" si="204"/>
        <v>45003</v>
      </c>
      <c r="C466" s="2">
        <f t="shared" ca="1" si="205"/>
        <v>2023</v>
      </c>
      <c r="D466" s="2" t="str">
        <f t="shared" ca="1" si="206"/>
        <v>março</v>
      </c>
      <c r="E466" s="2" t="str">
        <f t="shared" ca="1" si="207"/>
        <v>2023/03</v>
      </c>
      <c r="F466" s="14" t="str">
        <f t="shared" ca="1" si="208"/>
        <v>CLI-6806</v>
      </c>
      <c r="G466" s="2" t="str">
        <f t="shared" ca="1" si="209"/>
        <v>Rafael</v>
      </c>
      <c r="H466" s="2" t="str">
        <f t="shared" ca="1" si="210"/>
        <v>Novo</v>
      </c>
      <c r="I466" s="2" t="str">
        <f t="shared" ca="1" si="211"/>
        <v>André</v>
      </c>
      <c r="J466" s="14" t="str">
        <f t="shared" ca="1" si="212"/>
        <v>VCL-9652</v>
      </c>
      <c r="K466" s="2" t="str">
        <f t="shared" ca="1" si="213"/>
        <v>BMW X1</v>
      </c>
      <c r="L466" s="2" t="str">
        <f t="shared" ca="1" si="214"/>
        <v>BMW</v>
      </c>
      <c r="M466" s="2" t="str">
        <f t="shared" ca="1" si="215"/>
        <v>Luxo</v>
      </c>
      <c r="N466" s="2">
        <f t="shared" ca="1" si="216"/>
        <v>2021</v>
      </c>
      <c r="O466" s="2" t="str">
        <f t="shared" ca="1" si="217"/>
        <v>Loja</v>
      </c>
      <c r="P466" s="2" t="str">
        <f t="shared" ca="1" si="218"/>
        <v>Nordeste</v>
      </c>
      <c r="Q466" s="2" t="str">
        <f t="shared" ca="1" si="219"/>
        <v>CE</v>
      </c>
      <c r="R466" s="2" t="str">
        <f t="shared" ca="1" si="220"/>
        <v>Maracanaú</v>
      </c>
      <c r="S466" s="8">
        <f t="shared" ca="1" si="221"/>
        <v>8</v>
      </c>
      <c r="T466" s="10">
        <f t="shared" ca="1" si="222"/>
        <v>156455</v>
      </c>
      <c r="U466" s="10">
        <f t="shared" ca="1" si="223"/>
        <v>111083.04999999999</v>
      </c>
      <c r="V466" s="10">
        <f t="shared" ca="1" si="224"/>
        <v>1251640</v>
      </c>
      <c r="W466" s="10">
        <f t="shared" ca="1" si="225"/>
        <v>888664.39999999991</v>
      </c>
      <c r="X466" s="10">
        <f t="shared" ca="1" si="226"/>
        <v>362975.60000000009</v>
      </c>
      <c r="Y466" s="12">
        <f t="shared" ca="1" si="227"/>
        <v>0.29000000000000009</v>
      </c>
      <c r="Z466" s="2" t="str">
        <f t="shared" ca="1" si="228"/>
        <v>Cancelada</v>
      </c>
      <c r="AA466" s="8">
        <f t="shared" ca="1" si="229"/>
        <v>14</v>
      </c>
      <c r="AB466" s="2">
        <f t="shared" ca="1" si="230"/>
        <v>3</v>
      </c>
      <c r="AC466" s="2">
        <f t="shared" ca="1" si="231"/>
        <v>3</v>
      </c>
    </row>
    <row r="467" spans="1:29" x14ac:dyDescent="0.25">
      <c r="A467" s="14" t="str">
        <f t="shared" si="203"/>
        <v>VND-00467</v>
      </c>
      <c r="B467" s="5">
        <f t="shared" ca="1" si="204"/>
        <v>45872</v>
      </c>
      <c r="C467" s="2">
        <f t="shared" ca="1" si="205"/>
        <v>2025</v>
      </c>
      <c r="D467" s="2" t="str">
        <f t="shared" ca="1" si="206"/>
        <v>agosto</v>
      </c>
      <c r="E467" s="2" t="str">
        <f t="shared" ca="1" si="207"/>
        <v>2025/08</v>
      </c>
      <c r="F467" s="14" t="str">
        <f t="shared" ca="1" si="208"/>
        <v>CLI-2492</v>
      </c>
      <c r="G467" s="2" t="str">
        <f t="shared" ca="1" si="209"/>
        <v>Ana</v>
      </c>
      <c r="H467" s="2" t="str">
        <f t="shared" ca="1" si="210"/>
        <v>Novo</v>
      </c>
      <c r="I467" s="2" t="str">
        <f t="shared" ca="1" si="211"/>
        <v>Carlos</v>
      </c>
      <c r="J467" s="14" t="str">
        <f t="shared" ca="1" si="212"/>
        <v>VCL-1273</v>
      </c>
      <c r="K467" s="2" t="str">
        <f t="shared" ca="1" si="213"/>
        <v>Civic</v>
      </c>
      <c r="L467" s="2" t="str">
        <f t="shared" ca="1" si="214"/>
        <v>Honda</v>
      </c>
      <c r="M467" s="2" t="str">
        <f t="shared" ca="1" si="215"/>
        <v>SUV</v>
      </c>
      <c r="N467" s="2">
        <f t="shared" ca="1" si="216"/>
        <v>2024</v>
      </c>
      <c r="O467" s="2" t="str">
        <f t="shared" ca="1" si="217"/>
        <v>Loja</v>
      </c>
      <c r="P467" s="2" t="str">
        <f t="shared" ca="1" si="218"/>
        <v>Norte</v>
      </c>
      <c r="Q467" s="2" t="str">
        <f t="shared" ca="1" si="219"/>
        <v>PA</v>
      </c>
      <c r="R467" s="2" t="str">
        <f t="shared" ca="1" si="220"/>
        <v>Santarém</v>
      </c>
      <c r="S467" s="8">
        <f t="shared" ca="1" si="221"/>
        <v>6</v>
      </c>
      <c r="T467" s="10">
        <f t="shared" ca="1" si="222"/>
        <v>234102</v>
      </c>
      <c r="U467" s="10">
        <f t="shared" ca="1" si="223"/>
        <v>180258.54</v>
      </c>
      <c r="V467" s="10">
        <f t="shared" ca="1" si="224"/>
        <v>1404612</v>
      </c>
      <c r="W467" s="10">
        <f t="shared" ca="1" si="225"/>
        <v>1081551.24</v>
      </c>
      <c r="X467" s="10">
        <f t="shared" ca="1" si="226"/>
        <v>323060.76</v>
      </c>
      <c r="Y467" s="12">
        <f t="shared" ca="1" si="227"/>
        <v>0.23</v>
      </c>
      <c r="Z467" s="2" t="str">
        <f t="shared" ca="1" si="228"/>
        <v>Em negociação</v>
      </c>
      <c r="AA467" s="8">
        <f t="shared" ca="1" si="229"/>
        <v>12</v>
      </c>
      <c r="AB467" s="2">
        <f t="shared" ca="1" si="230"/>
        <v>9</v>
      </c>
      <c r="AC467" s="2">
        <f t="shared" ca="1" si="231"/>
        <v>7</v>
      </c>
    </row>
    <row r="468" spans="1:29" x14ac:dyDescent="0.25">
      <c r="A468" s="14" t="str">
        <f t="shared" si="203"/>
        <v>VND-00468</v>
      </c>
      <c r="B468" s="5">
        <f t="shared" ca="1" si="204"/>
        <v>45581</v>
      </c>
      <c r="C468" s="2">
        <f t="shared" ca="1" si="205"/>
        <v>2024</v>
      </c>
      <c r="D468" s="2" t="str">
        <f t="shared" ca="1" si="206"/>
        <v>outubro</v>
      </c>
      <c r="E468" s="2" t="str">
        <f t="shared" ca="1" si="207"/>
        <v>2024/10</v>
      </c>
      <c r="F468" s="14" t="str">
        <f t="shared" ca="1" si="208"/>
        <v>CLI-6149</v>
      </c>
      <c r="G468" s="2" t="str">
        <f t="shared" ca="1" si="209"/>
        <v>João</v>
      </c>
      <c r="H468" s="2" t="str">
        <f t="shared" ca="1" si="210"/>
        <v>Novo</v>
      </c>
      <c r="I468" s="2" t="str">
        <f t="shared" ca="1" si="211"/>
        <v>Patricia</v>
      </c>
      <c r="J468" s="14" t="str">
        <f t="shared" ca="1" si="212"/>
        <v>VCL-6795</v>
      </c>
      <c r="K468" s="2" t="str">
        <f t="shared" ca="1" si="213"/>
        <v>BMW X1</v>
      </c>
      <c r="L468" s="2" t="str">
        <f t="shared" ca="1" si="214"/>
        <v>BMW</v>
      </c>
      <c r="M468" s="2" t="str">
        <f t="shared" ca="1" si="215"/>
        <v>Luxo</v>
      </c>
      <c r="N468" s="2">
        <f t="shared" ca="1" si="216"/>
        <v>2024</v>
      </c>
      <c r="O468" s="2" t="str">
        <f t="shared" ca="1" si="217"/>
        <v>Loja</v>
      </c>
      <c r="P468" s="2" t="str">
        <f t="shared" ca="1" si="218"/>
        <v>Nordeste</v>
      </c>
      <c r="Q468" s="2" t="str">
        <f t="shared" ca="1" si="219"/>
        <v>PE</v>
      </c>
      <c r="R468" s="2" t="str">
        <f t="shared" ca="1" si="220"/>
        <v>Recife</v>
      </c>
      <c r="S468" s="8">
        <f t="shared" ca="1" si="221"/>
        <v>4</v>
      </c>
      <c r="T468" s="10">
        <f t="shared" ca="1" si="222"/>
        <v>189094</v>
      </c>
      <c r="U468" s="10">
        <f t="shared" ca="1" si="223"/>
        <v>160729.9</v>
      </c>
      <c r="V468" s="10">
        <f t="shared" ca="1" si="224"/>
        <v>756376</v>
      </c>
      <c r="W468" s="10">
        <f t="shared" ca="1" si="225"/>
        <v>642919.6</v>
      </c>
      <c r="X468" s="10">
        <f t="shared" ca="1" si="226"/>
        <v>113456.40000000002</v>
      </c>
      <c r="Y468" s="12">
        <f t="shared" ca="1" si="227"/>
        <v>0.15000000000000002</v>
      </c>
      <c r="Z468" s="2" t="str">
        <f t="shared" ca="1" si="228"/>
        <v>Em negociação</v>
      </c>
      <c r="AA468" s="8">
        <f t="shared" ca="1" si="229"/>
        <v>28</v>
      </c>
      <c r="AB468" s="2">
        <f t="shared" ca="1" si="230"/>
        <v>2</v>
      </c>
      <c r="AC468" s="2">
        <f t="shared" ca="1" si="231"/>
        <v>3</v>
      </c>
    </row>
    <row r="469" spans="1:29" x14ac:dyDescent="0.25">
      <c r="A469" s="14" t="str">
        <f t="shared" si="203"/>
        <v>VND-00469</v>
      </c>
      <c r="B469" s="5">
        <f t="shared" ca="1" si="204"/>
        <v>45544</v>
      </c>
      <c r="C469" s="2">
        <f t="shared" ca="1" si="205"/>
        <v>2024</v>
      </c>
      <c r="D469" s="2" t="str">
        <f t="shared" ca="1" si="206"/>
        <v>setembro</v>
      </c>
      <c r="E469" s="2" t="str">
        <f t="shared" ca="1" si="207"/>
        <v>2024/09</v>
      </c>
      <c r="F469" s="14" t="str">
        <f t="shared" ca="1" si="208"/>
        <v>CLI-8849</v>
      </c>
      <c r="G469" s="2" t="str">
        <f t="shared" ca="1" si="209"/>
        <v>João</v>
      </c>
      <c r="H469" s="2" t="str">
        <f t="shared" ca="1" si="210"/>
        <v>Novo</v>
      </c>
      <c r="I469" s="2" t="str">
        <f t="shared" ca="1" si="211"/>
        <v>Pedro</v>
      </c>
      <c r="J469" s="14" t="str">
        <f t="shared" ca="1" si="212"/>
        <v>VCL-6767</v>
      </c>
      <c r="K469" s="2" t="str">
        <f t="shared" ca="1" si="213"/>
        <v>Compass</v>
      </c>
      <c r="L469" s="2" t="str">
        <f t="shared" ca="1" si="214"/>
        <v>Jeep</v>
      </c>
      <c r="M469" s="2" t="str">
        <f t="shared" ca="1" si="215"/>
        <v>SUV</v>
      </c>
      <c r="N469" s="2">
        <f t="shared" ca="1" si="216"/>
        <v>2020</v>
      </c>
      <c r="O469" s="2" t="str">
        <f t="shared" ca="1" si="217"/>
        <v>Loja</v>
      </c>
      <c r="P469" s="2" t="str">
        <f t="shared" ca="1" si="218"/>
        <v>Sudeste</v>
      </c>
      <c r="Q469" s="2" t="str">
        <f t="shared" ca="1" si="219"/>
        <v>MG</v>
      </c>
      <c r="R469" s="2" t="str">
        <f t="shared" ca="1" si="220"/>
        <v>Betim</v>
      </c>
      <c r="S469" s="8">
        <f t="shared" ca="1" si="221"/>
        <v>5</v>
      </c>
      <c r="T469" s="10">
        <f t="shared" ca="1" si="222"/>
        <v>225491</v>
      </c>
      <c r="U469" s="10">
        <f t="shared" ca="1" si="223"/>
        <v>160098.60999999999</v>
      </c>
      <c r="V469" s="10">
        <f t="shared" ca="1" si="224"/>
        <v>1127455</v>
      </c>
      <c r="W469" s="10">
        <f t="shared" ca="1" si="225"/>
        <v>800493.04999999993</v>
      </c>
      <c r="X469" s="10">
        <f t="shared" ca="1" si="226"/>
        <v>326961.95000000007</v>
      </c>
      <c r="Y469" s="12">
        <f t="shared" ca="1" si="227"/>
        <v>0.29000000000000004</v>
      </c>
      <c r="Z469" s="2" t="str">
        <f t="shared" ca="1" si="228"/>
        <v>Cancelada</v>
      </c>
      <c r="AA469" s="8">
        <f t="shared" ca="1" si="229"/>
        <v>28</v>
      </c>
      <c r="AB469" s="2">
        <f t="shared" ca="1" si="230"/>
        <v>16</v>
      </c>
      <c r="AC469" s="2">
        <f t="shared" ca="1" si="231"/>
        <v>7</v>
      </c>
    </row>
    <row r="470" spans="1:29" x14ac:dyDescent="0.25">
      <c r="A470" s="14" t="str">
        <f t="shared" si="203"/>
        <v>VND-00470</v>
      </c>
      <c r="B470" s="5">
        <f t="shared" ca="1" si="204"/>
        <v>45293</v>
      </c>
      <c r="C470" s="2">
        <f t="shared" ca="1" si="205"/>
        <v>2024</v>
      </c>
      <c r="D470" s="2" t="str">
        <f t="shared" ca="1" si="206"/>
        <v>janeiro</v>
      </c>
      <c r="E470" s="2" t="str">
        <f t="shared" ca="1" si="207"/>
        <v>2024/01</v>
      </c>
      <c r="F470" s="14" t="str">
        <f t="shared" ca="1" si="208"/>
        <v>CLI-2417</v>
      </c>
      <c r="G470" s="2" t="str">
        <f t="shared" ca="1" si="209"/>
        <v>Maria</v>
      </c>
      <c r="H470" s="2" t="str">
        <f t="shared" ca="1" si="210"/>
        <v>Recorrente</v>
      </c>
      <c r="I470" s="2" t="str">
        <f t="shared" ca="1" si="211"/>
        <v>Tatiane</v>
      </c>
      <c r="J470" s="14" t="str">
        <f t="shared" ca="1" si="212"/>
        <v>VCL-5621</v>
      </c>
      <c r="K470" s="2" t="str">
        <f t="shared" ca="1" si="213"/>
        <v>Corolla</v>
      </c>
      <c r="L470" s="2" t="str">
        <f t="shared" ca="1" si="214"/>
        <v>Toyota</v>
      </c>
      <c r="M470" s="2" t="str">
        <f t="shared" ca="1" si="215"/>
        <v>SUV</v>
      </c>
      <c r="N470" s="2">
        <f t="shared" ca="1" si="216"/>
        <v>2020</v>
      </c>
      <c r="O470" s="2" t="str">
        <f t="shared" ca="1" si="217"/>
        <v>Online</v>
      </c>
      <c r="P470" s="2" t="str">
        <f t="shared" ca="1" si="218"/>
        <v>Norte</v>
      </c>
      <c r="Q470" s="2" t="str">
        <f t="shared" ca="1" si="219"/>
        <v>PA</v>
      </c>
      <c r="R470" s="2" t="str">
        <f t="shared" ca="1" si="220"/>
        <v>Ananindeua</v>
      </c>
      <c r="S470" s="8">
        <f t="shared" ca="1" si="221"/>
        <v>1</v>
      </c>
      <c r="T470" s="10">
        <f t="shared" ca="1" si="222"/>
        <v>140078</v>
      </c>
      <c r="U470" s="10">
        <f t="shared" ca="1" si="223"/>
        <v>117665.51999999999</v>
      </c>
      <c r="V470" s="10">
        <f t="shared" ca="1" si="224"/>
        <v>140078</v>
      </c>
      <c r="W470" s="10">
        <f t="shared" ca="1" si="225"/>
        <v>117665.51999999999</v>
      </c>
      <c r="X470" s="10">
        <f t="shared" ca="1" si="226"/>
        <v>22412.48000000001</v>
      </c>
      <c r="Y470" s="12">
        <f t="shared" ca="1" si="227"/>
        <v>0.16000000000000009</v>
      </c>
      <c r="Z470" s="2" t="str">
        <f t="shared" ca="1" si="228"/>
        <v>Cancelada</v>
      </c>
      <c r="AA470" s="8">
        <f t="shared" ca="1" si="229"/>
        <v>30</v>
      </c>
      <c r="AB470" s="2">
        <f t="shared" ca="1" si="230"/>
        <v>15</v>
      </c>
      <c r="AC470" s="2">
        <f t="shared" ca="1" si="231"/>
        <v>7</v>
      </c>
    </row>
    <row r="471" spans="1:29" x14ac:dyDescent="0.25">
      <c r="A471" s="14" t="str">
        <f t="shared" si="203"/>
        <v>VND-00471</v>
      </c>
      <c r="B471" s="5">
        <f t="shared" ca="1" si="204"/>
        <v>45352</v>
      </c>
      <c r="C471" s="2">
        <f t="shared" ca="1" si="205"/>
        <v>2024</v>
      </c>
      <c r="D471" s="2" t="str">
        <f t="shared" ca="1" si="206"/>
        <v>março</v>
      </c>
      <c r="E471" s="2" t="str">
        <f t="shared" ca="1" si="207"/>
        <v>2024/03</v>
      </c>
      <c r="F471" s="14" t="str">
        <f t="shared" ca="1" si="208"/>
        <v>CLI-9311</v>
      </c>
      <c r="G471" s="2" t="str">
        <f t="shared" ca="1" si="209"/>
        <v>João</v>
      </c>
      <c r="H471" s="2" t="str">
        <f t="shared" ca="1" si="210"/>
        <v>Novo</v>
      </c>
      <c r="I471" s="2" t="str">
        <f t="shared" ca="1" si="211"/>
        <v>Maria</v>
      </c>
      <c r="J471" s="14" t="str">
        <f t="shared" ca="1" si="212"/>
        <v>VCL-6300</v>
      </c>
      <c r="K471" s="2" t="str">
        <f t="shared" ca="1" si="213"/>
        <v>HB20</v>
      </c>
      <c r="L471" s="2" t="str">
        <f t="shared" ca="1" si="214"/>
        <v>Hyundai</v>
      </c>
      <c r="M471" s="2" t="str">
        <f t="shared" ca="1" si="215"/>
        <v>Popular</v>
      </c>
      <c r="N471" s="2">
        <f t="shared" ca="1" si="216"/>
        <v>2024</v>
      </c>
      <c r="O471" s="2" t="str">
        <f t="shared" ca="1" si="217"/>
        <v>Online</v>
      </c>
      <c r="P471" s="2" t="str">
        <f t="shared" ca="1" si="218"/>
        <v>Sudeste</v>
      </c>
      <c r="Q471" s="2" t="str">
        <f t="shared" ca="1" si="219"/>
        <v>MG</v>
      </c>
      <c r="R471" s="2" t="str">
        <f t="shared" ca="1" si="220"/>
        <v>Uberlândia</v>
      </c>
      <c r="S471" s="8">
        <f t="shared" ca="1" si="221"/>
        <v>3</v>
      </c>
      <c r="T471" s="10">
        <f t="shared" ca="1" si="222"/>
        <v>161095</v>
      </c>
      <c r="U471" s="10">
        <f t="shared" ca="1" si="223"/>
        <v>127265.05</v>
      </c>
      <c r="V471" s="10">
        <f t="shared" ca="1" si="224"/>
        <v>483285</v>
      </c>
      <c r="W471" s="10">
        <f t="shared" ca="1" si="225"/>
        <v>381795.15</v>
      </c>
      <c r="X471" s="10">
        <f t="shared" ca="1" si="226"/>
        <v>101489.84999999998</v>
      </c>
      <c r="Y471" s="12">
        <f t="shared" ca="1" si="227"/>
        <v>0.20999999999999996</v>
      </c>
      <c r="Z471" s="2" t="str">
        <f t="shared" ca="1" si="228"/>
        <v>Concluída</v>
      </c>
      <c r="AA471" s="8">
        <f t="shared" ca="1" si="229"/>
        <v>3</v>
      </c>
      <c r="AB471" s="2">
        <f t="shared" ca="1" si="230"/>
        <v>11</v>
      </c>
      <c r="AC471" s="2">
        <f t="shared" ca="1" si="231"/>
        <v>10</v>
      </c>
    </row>
    <row r="472" spans="1:29" x14ac:dyDescent="0.25">
      <c r="A472" s="14" t="str">
        <f t="shared" si="203"/>
        <v>VND-00472</v>
      </c>
      <c r="B472" s="5">
        <f t="shared" ca="1" si="204"/>
        <v>45400</v>
      </c>
      <c r="C472" s="2">
        <f t="shared" ca="1" si="205"/>
        <v>2024</v>
      </c>
      <c r="D472" s="2" t="str">
        <f t="shared" ca="1" si="206"/>
        <v>abril</v>
      </c>
      <c r="E472" s="2" t="str">
        <f t="shared" ca="1" si="207"/>
        <v>2024/04</v>
      </c>
      <c r="F472" s="14" t="str">
        <f t="shared" ca="1" si="208"/>
        <v>CLI-8991</v>
      </c>
      <c r="G472" s="2" t="str">
        <f t="shared" ca="1" si="209"/>
        <v>Rafael</v>
      </c>
      <c r="H472" s="2" t="str">
        <f t="shared" ca="1" si="210"/>
        <v>Novo</v>
      </c>
      <c r="I472" s="2" t="str">
        <f t="shared" ca="1" si="211"/>
        <v>Eduardo</v>
      </c>
      <c r="J472" s="14" t="str">
        <f t="shared" ca="1" si="212"/>
        <v>VCL-9512</v>
      </c>
      <c r="K472" s="2" t="str">
        <f t="shared" ca="1" si="213"/>
        <v>Civic</v>
      </c>
      <c r="L472" s="2" t="str">
        <f t="shared" ca="1" si="214"/>
        <v>Honda</v>
      </c>
      <c r="M472" s="2" t="str">
        <f t="shared" ca="1" si="215"/>
        <v>SUV</v>
      </c>
      <c r="N472" s="2">
        <f t="shared" ca="1" si="216"/>
        <v>2016</v>
      </c>
      <c r="O472" s="2" t="str">
        <f t="shared" ca="1" si="217"/>
        <v>Loja</v>
      </c>
      <c r="P472" s="2" t="str">
        <f t="shared" ca="1" si="218"/>
        <v>Centro-Oeste</v>
      </c>
      <c r="Q472" s="2" t="str">
        <f t="shared" ca="1" si="219"/>
        <v>MT</v>
      </c>
      <c r="R472" s="2" t="str">
        <f t="shared" ca="1" si="220"/>
        <v>Cuiabá</v>
      </c>
      <c r="S472" s="8">
        <f t="shared" ca="1" si="221"/>
        <v>4</v>
      </c>
      <c r="T472" s="10">
        <f t="shared" ca="1" si="222"/>
        <v>206781</v>
      </c>
      <c r="U472" s="10">
        <f t="shared" ca="1" si="223"/>
        <v>163356.99000000002</v>
      </c>
      <c r="V472" s="10">
        <f t="shared" ca="1" si="224"/>
        <v>827124</v>
      </c>
      <c r="W472" s="10">
        <f t="shared" ca="1" si="225"/>
        <v>653427.96000000008</v>
      </c>
      <c r="X472" s="10">
        <f t="shared" ca="1" si="226"/>
        <v>173696.03999999992</v>
      </c>
      <c r="Y472" s="12">
        <f t="shared" ca="1" si="227"/>
        <v>0.20999999999999991</v>
      </c>
      <c r="Z472" s="2" t="str">
        <f t="shared" ca="1" si="228"/>
        <v>Em negociação</v>
      </c>
      <c r="AA472" s="8">
        <f t="shared" ca="1" si="229"/>
        <v>7</v>
      </c>
      <c r="AB472" s="2">
        <f t="shared" ca="1" si="230"/>
        <v>19</v>
      </c>
      <c r="AC472" s="2">
        <f t="shared" ca="1" si="231"/>
        <v>7</v>
      </c>
    </row>
    <row r="473" spans="1:29" x14ac:dyDescent="0.25">
      <c r="A473" s="14" t="str">
        <f t="shared" si="203"/>
        <v>VND-00473</v>
      </c>
      <c r="B473" s="5">
        <f t="shared" ca="1" si="204"/>
        <v>45593</v>
      </c>
      <c r="C473" s="2">
        <f t="shared" ca="1" si="205"/>
        <v>2024</v>
      </c>
      <c r="D473" s="2" t="str">
        <f t="shared" ca="1" si="206"/>
        <v>outubro</v>
      </c>
      <c r="E473" s="2" t="str">
        <f t="shared" ca="1" si="207"/>
        <v>2024/10</v>
      </c>
      <c r="F473" s="14" t="str">
        <f t="shared" ca="1" si="208"/>
        <v>CLI-8205</v>
      </c>
      <c r="G473" s="2" t="str">
        <f t="shared" ca="1" si="209"/>
        <v>Carlos</v>
      </c>
      <c r="H473" s="2" t="str">
        <f t="shared" ca="1" si="210"/>
        <v>Novo</v>
      </c>
      <c r="I473" s="2" t="str">
        <f t="shared" ca="1" si="211"/>
        <v>Felipe</v>
      </c>
      <c r="J473" s="14" t="str">
        <f t="shared" ca="1" si="212"/>
        <v>VCL-6527</v>
      </c>
      <c r="K473" s="2" t="str">
        <f t="shared" ca="1" si="213"/>
        <v>BMW X1</v>
      </c>
      <c r="L473" s="2" t="str">
        <f t="shared" ca="1" si="214"/>
        <v>BMW</v>
      </c>
      <c r="M473" s="2" t="str">
        <f t="shared" ca="1" si="215"/>
        <v>Luxo</v>
      </c>
      <c r="N473" s="2">
        <f t="shared" ca="1" si="216"/>
        <v>2016</v>
      </c>
      <c r="O473" s="2" t="str">
        <f t="shared" ca="1" si="217"/>
        <v>Loja</v>
      </c>
      <c r="P473" s="2" t="str">
        <f t="shared" ca="1" si="218"/>
        <v>Norte</v>
      </c>
      <c r="Q473" s="2" t="str">
        <f t="shared" ca="1" si="219"/>
        <v>AM</v>
      </c>
      <c r="R473" s="2" t="str">
        <f t="shared" ca="1" si="220"/>
        <v>Manacapuru</v>
      </c>
      <c r="S473" s="8">
        <f t="shared" ca="1" si="221"/>
        <v>8</v>
      </c>
      <c r="T473" s="10">
        <f t="shared" ca="1" si="222"/>
        <v>209409</v>
      </c>
      <c r="U473" s="10">
        <f t="shared" ca="1" si="223"/>
        <v>150774.47999999998</v>
      </c>
      <c r="V473" s="10">
        <f t="shared" ca="1" si="224"/>
        <v>1675272</v>
      </c>
      <c r="W473" s="10">
        <f t="shared" ca="1" si="225"/>
        <v>1206195.8399999999</v>
      </c>
      <c r="X473" s="10">
        <f t="shared" ca="1" si="226"/>
        <v>469076.16000000015</v>
      </c>
      <c r="Y473" s="12">
        <f t="shared" ca="1" si="227"/>
        <v>0.28000000000000008</v>
      </c>
      <c r="Z473" s="2" t="str">
        <f t="shared" ca="1" si="228"/>
        <v>Em negociação</v>
      </c>
      <c r="AA473" s="8">
        <f t="shared" ca="1" si="229"/>
        <v>20</v>
      </c>
      <c r="AB473" s="2">
        <f t="shared" ca="1" si="230"/>
        <v>10</v>
      </c>
      <c r="AC473" s="2">
        <f t="shared" ca="1" si="231"/>
        <v>3</v>
      </c>
    </row>
    <row r="474" spans="1:29" x14ac:dyDescent="0.25">
      <c r="A474" s="14" t="str">
        <f t="shared" si="203"/>
        <v>VND-00474</v>
      </c>
      <c r="B474" s="5">
        <f t="shared" ca="1" si="204"/>
        <v>45193</v>
      </c>
      <c r="C474" s="2">
        <f t="shared" ca="1" si="205"/>
        <v>2023</v>
      </c>
      <c r="D474" s="2" t="str">
        <f t="shared" ca="1" si="206"/>
        <v>setembro</v>
      </c>
      <c r="E474" s="2" t="str">
        <f t="shared" ca="1" si="207"/>
        <v>2023/09</v>
      </c>
      <c r="F474" s="14" t="str">
        <f t="shared" ca="1" si="208"/>
        <v>CLI-1521</v>
      </c>
      <c r="G474" s="2" t="str">
        <f t="shared" ca="1" si="209"/>
        <v>Juliana</v>
      </c>
      <c r="H474" s="2" t="str">
        <f t="shared" ca="1" si="210"/>
        <v>Novo</v>
      </c>
      <c r="I474" s="2" t="str">
        <f t="shared" ca="1" si="211"/>
        <v>Amanda</v>
      </c>
      <c r="J474" s="14" t="str">
        <f t="shared" ca="1" si="212"/>
        <v>VCL-7282</v>
      </c>
      <c r="K474" s="2" t="str">
        <f t="shared" ca="1" si="213"/>
        <v>Compass</v>
      </c>
      <c r="L474" s="2" t="str">
        <f t="shared" ca="1" si="214"/>
        <v>Jeep</v>
      </c>
      <c r="M474" s="2" t="str">
        <f t="shared" ca="1" si="215"/>
        <v>SUV</v>
      </c>
      <c r="N474" s="2">
        <f t="shared" ca="1" si="216"/>
        <v>2021</v>
      </c>
      <c r="O474" s="2" t="str">
        <f t="shared" ca="1" si="217"/>
        <v>Loja</v>
      </c>
      <c r="P474" s="2" t="str">
        <f t="shared" ca="1" si="218"/>
        <v>Norte</v>
      </c>
      <c r="Q474" s="2" t="str">
        <f t="shared" ca="1" si="219"/>
        <v>AM</v>
      </c>
      <c r="R474" s="2" t="str">
        <f t="shared" ca="1" si="220"/>
        <v>Parintins</v>
      </c>
      <c r="S474" s="8">
        <f t="shared" ca="1" si="221"/>
        <v>7</v>
      </c>
      <c r="T474" s="10">
        <f t="shared" ca="1" si="222"/>
        <v>109602</v>
      </c>
      <c r="U474" s="10">
        <f t="shared" ca="1" si="223"/>
        <v>78913.440000000002</v>
      </c>
      <c r="V474" s="10">
        <f t="shared" ca="1" si="224"/>
        <v>767214</v>
      </c>
      <c r="W474" s="10">
        <f t="shared" ca="1" si="225"/>
        <v>552394.08000000007</v>
      </c>
      <c r="X474" s="10">
        <f t="shared" ca="1" si="226"/>
        <v>214819.91999999993</v>
      </c>
      <c r="Y474" s="12">
        <f t="shared" ca="1" si="227"/>
        <v>0.27999999999999992</v>
      </c>
      <c r="Z474" s="2" t="str">
        <f t="shared" ca="1" si="228"/>
        <v>Cancelada</v>
      </c>
      <c r="AA474" s="8">
        <f t="shared" ca="1" si="229"/>
        <v>2</v>
      </c>
      <c r="AB474" s="2">
        <f t="shared" ca="1" si="230"/>
        <v>12</v>
      </c>
      <c r="AC474" s="2">
        <f t="shared" ca="1" si="231"/>
        <v>7</v>
      </c>
    </row>
    <row r="475" spans="1:29" x14ac:dyDescent="0.25">
      <c r="A475" s="14" t="str">
        <f t="shared" si="203"/>
        <v>VND-00475</v>
      </c>
      <c r="B475" s="5">
        <f t="shared" ca="1" si="204"/>
        <v>45349</v>
      </c>
      <c r="C475" s="2">
        <f t="shared" ca="1" si="205"/>
        <v>2024</v>
      </c>
      <c r="D475" s="2" t="str">
        <f t="shared" ca="1" si="206"/>
        <v>fevereiro</v>
      </c>
      <c r="E475" s="2" t="str">
        <f t="shared" ca="1" si="207"/>
        <v>2024/02</v>
      </c>
      <c r="F475" s="14" t="str">
        <f t="shared" ca="1" si="208"/>
        <v>CLI-9424</v>
      </c>
      <c r="G475" s="2" t="str">
        <f t="shared" ca="1" si="209"/>
        <v>Lucas</v>
      </c>
      <c r="H475" s="2" t="str">
        <f t="shared" ca="1" si="210"/>
        <v>Novo</v>
      </c>
      <c r="I475" s="2" t="str">
        <f t="shared" ca="1" si="211"/>
        <v>Ricardo</v>
      </c>
      <c r="J475" s="14" t="str">
        <f t="shared" ca="1" si="212"/>
        <v>VCL-3994</v>
      </c>
      <c r="K475" s="2" t="str">
        <f t="shared" ca="1" si="213"/>
        <v>Civic</v>
      </c>
      <c r="L475" s="2" t="str">
        <f t="shared" ca="1" si="214"/>
        <v>Honda</v>
      </c>
      <c r="M475" s="2" t="str">
        <f t="shared" ca="1" si="215"/>
        <v>SUV</v>
      </c>
      <c r="N475" s="2">
        <f t="shared" ca="1" si="216"/>
        <v>2021</v>
      </c>
      <c r="O475" s="2" t="str">
        <f t="shared" ca="1" si="217"/>
        <v>Loja</v>
      </c>
      <c r="P475" s="2" t="str">
        <f t="shared" ca="1" si="218"/>
        <v>Norte</v>
      </c>
      <c r="Q475" s="2" t="str">
        <f t="shared" ca="1" si="219"/>
        <v>AM</v>
      </c>
      <c r="R475" s="2" t="str">
        <f t="shared" ca="1" si="220"/>
        <v>Itacoatiara</v>
      </c>
      <c r="S475" s="8">
        <f t="shared" ca="1" si="221"/>
        <v>1</v>
      </c>
      <c r="T475" s="10">
        <f t="shared" ca="1" si="222"/>
        <v>94356</v>
      </c>
      <c r="U475" s="10">
        <f t="shared" ca="1" si="223"/>
        <v>67936.319999999992</v>
      </c>
      <c r="V475" s="10">
        <f t="shared" ca="1" si="224"/>
        <v>94356</v>
      </c>
      <c r="W475" s="10">
        <f t="shared" ca="1" si="225"/>
        <v>67936.319999999992</v>
      </c>
      <c r="X475" s="10">
        <f t="shared" ca="1" si="226"/>
        <v>26419.680000000008</v>
      </c>
      <c r="Y475" s="12">
        <f t="shared" ca="1" si="227"/>
        <v>0.28000000000000008</v>
      </c>
      <c r="Z475" s="2" t="str">
        <f t="shared" ca="1" si="228"/>
        <v>Concluída</v>
      </c>
      <c r="AA475" s="8">
        <f t="shared" ca="1" si="229"/>
        <v>16</v>
      </c>
      <c r="AB475" s="2">
        <f t="shared" ca="1" si="230"/>
        <v>19</v>
      </c>
      <c r="AC475" s="2">
        <f t="shared" ca="1" si="231"/>
        <v>7</v>
      </c>
    </row>
    <row r="476" spans="1:29" x14ac:dyDescent="0.25">
      <c r="A476" s="14" t="str">
        <f t="shared" si="203"/>
        <v>VND-00476</v>
      </c>
      <c r="B476" s="5">
        <f t="shared" ca="1" si="204"/>
        <v>45683</v>
      </c>
      <c r="C476" s="2">
        <f t="shared" ca="1" si="205"/>
        <v>2025</v>
      </c>
      <c r="D476" s="2" t="str">
        <f t="shared" ca="1" si="206"/>
        <v>janeiro</v>
      </c>
      <c r="E476" s="2" t="str">
        <f t="shared" ca="1" si="207"/>
        <v>2025/01</v>
      </c>
      <c r="F476" s="14" t="str">
        <f t="shared" ca="1" si="208"/>
        <v>CLI-7817</v>
      </c>
      <c r="G476" s="2" t="str">
        <f t="shared" ca="1" si="209"/>
        <v>Lucas</v>
      </c>
      <c r="H476" s="2" t="str">
        <f t="shared" ca="1" si="210"/>
        <v>Novo</v>
      </c>
      <c r="I476" s="2" t="str">
        <f t="shared" ca="1" si="211"/>
        <v>Amanda</v>
      </c>
      <c r="J476" s="14" t="str">
        <f t="shared" ca="1" si="212"/>
        <v>VCL-9263</v>
      </c>
      <c r="K476" s="2" t="str">
        <f t="shared" ca="1" si="213"/>
        <v>Onix</v>
      </c>
      <c r="L476" s="2" t="str">
        <f t="shared" ca="1" si="214"/>
        <v>Chevrolet</v>
      </c>
      <c r="M476" s="2" t="str">
        <f t="shared" ca="1" si="215"/>
        <v>Popular</v>
      </c>
      <c r="N476" s="2">
        <f t="shared" ca="1" si="216"/>
        <v>2016</v>
      </c>
      <c r="O476" s="2" t="str">
        <f t="shared" ca="1" si="217"/>
        <v>Loja</v>
      </c>
      <c r="P476" s="2" t="str">
        <f t="shared" ca="1" si="218"/>
        <v>Norte</v>
      </c>
      <c r="Q476" s="2" t="str">
        <f t="shared" ca="1" si="219"/>
        <v>PA</v>
      </c>
      <c r="R476" s="2" t="str">
        <f t="shared" ca="1" si="220"/>
        <v>Marabá</v>
      </c>
      <c r="S476" s="8">
        <f t="shared" ca="1" si="221"/>
        <v>4</v>
      </c>
      <c r="T476" s="10">
        <f t="shared" ca="1" si="222"/>
        <v>81870</v>
      </c>
      <c r="U476" s="10">
        <f t="shared" ca="1" si="223"/>
        <v>60583.8</v>
      </c>
      <c r="V476" s="10">
        <f t="shared" ca="1" si="224"/>
        <v>327480</v>
      </c>
      <c r="W476" s="10">
        <f t="shared" ca="1" si="225"/>
        <v>242335.2</v>
      </c>
      <c r="X476" s="10">
        <f t="shared" ca="1" si="226"/>
        <v>85144.799999999988</v>
      </c>
      <c r="Y476" s="12">
        <f t="shared" ca="1" si="227"/>
        <v>0.25999999999999995</v>
      </c>
      <c r="Z476" s="2" t="str">
        <f t="shared" ca="1" si="228"/>
        <v>Em negociação</v>
      </c>
      <c r="AA476" s="8">
        <f t="shared" ca="1" si="229"/>
        <v>1</v>
      </c>
      <c r="AB476" s="2">
        <f t="shared" ca="1" si="230"/>
        <v>18</v>
      </c>
      <c r="AC476" s="2">
        <f t="shared" ca="1" si="231"/>
        <v>10</v>
      </c>
    </row>
    <row r="477" spans="1:29" x14ac:dyDescent="0.25">
      <c r="A477" s="14" t="str">
        <f t="shared" si="203"/>
        <v>VND-00477</v>
      </c>
      <c r="B477" s="5">
        <f t="shared" ca="1" si="204"/>
        <v>44967</v>
      </c>
      <c r="C477" s="2">
        <f t="shared" ca="1" si="205"/>
        <v>2023</v>
      </c>
      <c r="D477" s="2" t="str">
        <f t="shared" ca="1" si="206"/>
        <v>fevereiro</v>
      </c>
      <c r="E477" s="2" t="str">
        <f t="shared" ca="1" si="207"/>
        <v>2023/02</v>
      </c>
      <c r="F477" s="14" t="str">
        <f t="shared" ca="1" si="208"/>
        <v>CLI-2004</v>
      </c>
      <c r="G477" s="2" t="str">
        <f t="shared" ca="1" si="209"/>
        <v>Rafael</v>
      </c>
      <c r="H477" s="2" t="str">
        <f t="shared" ca="1" si="210"/>
        <v>Novo</v>
      </c>
      <c r="I477" s="2" t="str">
        <f t="shared" ca="1" si="211"/>
        <v>Camila</v>
      </c>
      <c r="J477" s="14" t="str">
        <f t="shared" ca="1" si="212"/>
        <v>VCL-3223</v>
      </c>
      <c r="K477" s="2" t="str">
        <f t="shared" ca="1" si="213"/>
        <v>BMW X1</v>
      </c>
      <c r="L477" s="2" t="str">
        <f t="shared" ca="1" si="214"/>
        <v>BMW</v>
      </c>
      <c r="M477" s="2" t="str">
        <f t="shared" ca="1" si="215"/>
        <v>Luxo</v>
      </c>
      <c r="N477" s="2">
        <f t="shared" ca="1" si="216"/>
        <v>2020</v>
      </c>
      <c r="O477" s="2" t="str">
        <f t="shared" ca="1" si="217"/>
        <v>Loja</v>
      </c>
      <c r="P477" s="2" t="str">
        <f t="shared" ca="1" si="218"/>
        <v>Centro-Oeste</v>
      </c>
      <c r="Q477" s="2" t="str">
        <f t="shared" ca="1" si="219"/>
        <v>GO</v>
      </c>
      <c r="R477" s="2" t="str">
        <f t="shared" ca="1" si="220"/>
        <v>Luziânia</v>
      </c>
      <c r="S477" s="8">
        <f t="shared" ca="1" si="221"/>
        <v>4</v>
      </c>
      <c r="T477" s="10">
        <f t="shared" ca="1" si="222"/>
        <v>178598</v>
      </c>
      <c r="U477" s="10">
        <f t="shared" ca="1" si="223"/>
        <v>148236.34</v>
      </c>
      <c r="V477" s="10">
        <f t="shared" ca="1" si="224"/>
        <v>714392</v>
      </c>
      <c r="W477" s="10">
        <f t="shared" ca="1" si="225"/>
        <v>592945.36</v>
      </c>
      <c r="X477" s="10">
        <f t="shared" ca="1" si="226"/>
        <v>121446.64000000001</v>
      </c>
      <c r="Y477" s="12">
        <f t="shared" ca="1" si="227"/>
        <v>0.17</v>
      </c>
      <c r="Z477" s="2" t="str">
        <f t="shared" ca="1" si="228"/>
        <v>Em negociação</v>
      </c>
      <c r="AA477" s="8">
        <f t="shared" ca="1" si="229"/>
        <v>1</v>
      </c>
      <c r="AB477" s="2">
        <f t="shared" ca="1" si="230"/>
        <v>1</v>
      </c>
      <c r="AC477" s="2">
        <f t="shared" ca="1" si="231"/>
        <v>3</v>
      </c>
    </row>
    <row r="478" spans="1:29" x14ac:dyDescent="0.25">
      <c r="A478" s="14" t="str">
        <f t="shared" si="203"/>
        <v>VND-00478</v>
      </c>
      <c r="B478" s="5">
        <f t="shared" ca="1" si="204"/>
        <v>45692</v>
      </c>
      <c r="C478" s="2">
        <f t="shared" ca="1" si="205"/>
        <v>2025</v>
      </c>
      <c r="D478" s="2" t="str">
        <f t="shared" ca="1" si="206"/>
        <v>fevereiro</v>
      </c>
      <c r="E478" s="2" t="str">
        <f t="shared" ca="1" si="207"/>
        <v>2025/02</v>
      </c>
      <c r="F478" s="14" t="str">
        <f t="shared" ca="1" si="208"/>
        <v>CLI-9163</v>
      </c>
      <c r="G478" s="2" t="str">
        <f t="shared" ca="1" si="209"/>
        <v>Rafael</v>
      </c>
      <c r="H478" s="2" t="str">
        <f t="shared" ca="1" si="210"/>
        <v>Recorrente</v>
      </c>
      <c r="I478" s="2" t="str">
        <f t="shared" ca="1" si="211"/>
        <v>Patricia</v>
      </c>
      <c r="J478" s="14" t="str">
        <f t="shared" ca="1" si="212"/>
        <v>VCL-7100</v>
      </c>
      <c r="K478" s="2" t="str">
        <f t="shared" ca="1" si="213"/>
        <v>Civic</v>
      </c>
      <c r="L478" s="2" t="str">
        <f t="shared" ca="1" si="214"/>
        <v>Honda</v>
      </c>
      <c r="M478" s="2" t="str">
        <f t="shared" ca="1" si="215"/>
        <v>SUV</v>
      </c>
      <c r="N478" s="2">
        <f t="shared" ca="1" si="216"/>
        <v>2023</v>
      </c>
      <c r="O478" s="2" t="str">
        <f t="shared" ca="1" si="217"/>
        <v>Loja</v>
      </c>
      <c r="P478" s="2" t="str">
        <f t="shared" ca="1" si="218"/>
        <v>Nordeste</v>
      </c>
      <c r="Q478" s="2" t="str">
        <f t="shared" ca="1" si="219"/>
        <v>CE</v>
      </c>
      <c r="R478" s="2" t="str">
        <f t="shared" ca="1" si="220"/>
        <v>Juazeiro do Norte</v>
      </c>
      <c r="S478" s="8">
        <f t="shared" ca="1" si="221"/>
        <v>5</v>
      </c>
      <c r="T478" s="10">
        <f t="shared" ca="1" si="222"/>
        <v>90975</v>
      </c>
      <c r="U478" s="10">
        <f t="shared" ca="1" si="223"/>
        <v>65502</v>
      </c>
      <c r="V478" s="10">
        <f t="shared" ca="1" si="224"/>
        <v>454875</v>
      </c>
      <c r="W478" s="10">
        <f t="shared" ca="1" si="225"/>
        <v>327510</v>
      </c>
      <c r="X478" s="10">
        <f t="shared" ca="1" si="226"/>
        <v>127365</v>
      </c>
      <c r="Y478" s="12">
        <f t="shared" ca="1" si="227"/>
        <v>0.28000000000000003</v>
      </c>
      <c r="Z478" s="2" t="str">
        <f t="shared" ca="1" si="228"/>
        <v>Concluída</v>
      </c>
      <c r="AA478" s="8">
        <f t="shared" ca="1" si="229"/>
        <v>14</v>
      </c>
      <c r="AB478" s="2">
        <f t="shared" ca="1" si="230"/>
        <v>6</v>
      </c>
      <c r="AC478" s="2">
        <f t="shared" ca="1" si="231"/>
        <v>7</v>
      </c>
    </row>
    <row r="479" spans="1:29" x14ac:dyDescent="0.25">
      <c r="A479" s="14" t="str">
        <f t="shared" si="203"/>
        <v>VND-00479</v>
      </c>
      <c r="B479" s="5">
        <f t="shared" ca="1" si="204"/>
        <v>45674</v>
      </c>
      <c r="C479" s="2">
        <f t="shared" ca="1" si="205"/>
        <v>2025</v>
      </c>
      <c r="D479" s="2" t="str">
        <f t="shared" ca="1" si="206"/>
        <v>janeiro</v>
      </c>
      <c r="E479" s="2" t="str">
        <f t="shared" ca="1" si="207"/>
        <v>2025/01</v>
      </c>
      <c r="F479" s="14" t="str">
        <f t="shared" ca="1" si="208"/>
        <v>CLI-5768</v>
      </c>
      <c r="G479" s="2" t="str">
        <f t="shared" ca="1" si="209"/>
        <v>Juliana</v>
      </c>
      <c r="H479" s="2" t="str">
        <f t="shared" ca="1" si="210"/>
        <v>Recorrente</v>
      </c>
      <c r="I479" s="2" t="str">
        <f t="shared" ca="1" si="211"/>
        <v>Vinicius</v>
      </c>
      <c r="J479" s="14" t="str">
        <f t="shared" ca="1" si="212"/>
        <v>VCL-6147</v>
      </c>
      <c r="K479" s="2" t="str">
        <f t="shared" ca="1" si="213"/>
        <v>HB20</v>
      </c>
      <c r="L479" s="2" t="str">
        <f t="shared" ca="1" si="214"/>
        <v>Hyundai</v>
      </c>
      <c r="M479" s="2" t="str">
        <f t="shared" ca="1" si="215"/>
        <v>Popular</v>
      </c>
      <c r="N479" s="2">
        <f t="shared" ca="1" si="216"/>
        <v>2021</v>
      </c>
      <c r="O479" s="2" t="str">
        <f t="shared" ca="1" si="217"/>
        <v>Loja</v>
      </c>
      <c r="P479" s="2" t="str">
        <f t="shared" ca="1" si="218"/>
        <v>Centro-Oeste</v>
      </c>
      <c r="Q479" s="2" t="str">
        <f t="shared" ca="1" si="219"/>
        <v>DF</v>
      </c>
      <c r="R479" s="2" t="str">
        <f t="shared" ca="1" si="220"/>
        <v>Samambaia</v>
      </c>
      <c r="S479" s="8">
        <f t="shared" ca="1" si="221"/>
        <v>8</v>
      </c>
      <c r="T479" s="10">
        <f t="shared" ca="1" si="222"/>
        <v>185370</v>
      </c>
      <c r="U479" s="10">
        <f t="shared" ca="1" si="223"/>
        <v>155710.79999999999</v>
      </c>
      <c r="V479" s="10">
        <f t="shared" ca="1" si="224"/>
        <v>1482960</v>
      </c>
      <c r="W479" s="10">
        <f t="shared" ca="1" si="225"/>
        <v>1245686.3999999999</v>
      </c>
      <c r="X479" s="10">
        <f t="shared" ca="1" si="226"/>
        <v>237273.60000000009</v>
      </c>
      <c r="Y479" s="12">
        <f t="shared" ca="1" si="227"/>
        <v>0.16000000000000006</v>
      </c>
      <c r="Z479" s="2" t="str">
        <f t="shared" ca="1" si="228"/>
        <v>Em negociação</v>
      </c>
      <c r="AA479" s="8">
        <f t="shared" ca="1" si="229"/>
        <v>26</v>
      </c>
      <c r="AB479" s="2">
        <f t="shared" ca="1" si="230"/>
        <v>26</v>
      </c>
      <c r="AC479" s="2">
        <f t="shared" ca="1" si="231"/>
        <v>10</v>
      </c>
    </row>
    <row r="480" spans="1:29" x14ac:dyDescent="0.25">
      <c r="A480" s="14" t="str">
        <f t="shared" si="203"/>
        <v>VND-00480</v>
      </c>
      <c r="B480" s="5">
        <f t="shared" ca="1" si="204"/>
        <v>45123</v>
      </c>
      <c r="C480" s="2">
        <f t="shared" ca="1" si="205"/>
        <v>2023</v>
      </c>
      <c r="D480" s="2" t="str">
        <f t="shared" ca="1" si="206"/>
        <v>julho</v>
      </c>
      <c r="E480" s="2" t="str">
        <f t="shared" ca="1" si="207"/>
        <v>2023/07</v>
      </c>
      <c r="F480" s="14" t="str">
        <f t="shared" ca="1" si="208"/>
        <v>CLI-3051</v>
      </c>
      <c r="G480" s="2" t="str">
        <f t="shared" ca="1" si="209"/>
        <v>Lucas</v>
      </c>
      <c r="H480" s="2" t="str">
        <f t="shared" ca="1" si="210"/>
        <v>Novo</v>
      </c>
      <c r="I480" s="2" t="str">
        <f t="shared" ca="1" si="211"/>
        <v>Vinicius</v>
      </c>
      <c r="J480" s="14" t="str">
        <f t="shared" ca="1" si="212"/>
        <v>VCL-8820</v>
      </c>
      <c r="K480" s="2" t="str">
        <f t="shared" ca="1" si="213"/>
        <v>HB20</v>
      </c>
      <c r="L480" s="2" t="str">
        <f t="shared" ca="1" si="214"/>
        <v>Hyundai</v>
      </c>
      <c r="M480" s="2" t="str">
        <f t="shared" ca="1" si="215"/>
        <v>Popular</v>
      </c>
      <c r="N480" s="2">
        <f t="shared" ca="1" si="216"/>
        <v>2017</v>
      </c>
      <c r="O480" s="2" t="str">
        <f t="shared" ca="1" si="217"/>
        <v>Loja</v>
      </c>
      <c r="P480" s="2" t="str">
        <f t="shared" ca="1" si="218"/>
        <v>Centro-Oeste</v>
      </c>
      <c r="Q480" s="2" t="str">
        <f t="shared" ca="1" si="219"/>
        <v>GO</v>
      </c>
      <c r="R480" s="2" t="str">
        <f t="shared" ca="1" si="220"/>
        <v>Anápolis</v>
      </c>
      <c r="S480" s="8">
        <f t="shared" ca="1" si="221"/>
        <v>3</v>
      </c>
      <c r="T480" s="10">
        <f t="shared" ca="1" si="222"/>
        <v>94429</v>
      </c>
      <c r="U480" s="10">
        <f t="shared" ca="1" si="223"/>
        <v>67044.59</v>
      </c>
      <c r="V480" s="10">
        <f t="shared" ca="1" si="224"/>
        <v>283287</v>
      </c>
      <c r="W480" s="10">
        <f t="shared" ca="1" si="225"/>
        <v>201133.77</v>
      </c>
      <c r="X480" s="10">
        <f t="shared" ca="1" si="226"/>
        <v>82153.23000000001</v>
      </c>
      <c r="Y480" s="12">
        <f t="shared" ca="1" si="227"/>
        <v>0.29000000000000004</v>
      </c>
      <c r="Z480" s="2" t="str">
        <f t="shared" ca="1" si="228"/>
        <v>Concluída</v>
      </c>
      <c r="AA480" s="8">
        <f t="shared" ca="1" si="229"/>
        <v>6</v>
      </c>
      <c r="AB480" s="2">
        <f t="shared" ca="1" si="230"/>
        <v>12</v>
      </c>
      <c r="AC480" s="2">
        <f t="shared" ca="1" si="231"/>
        <v>10</v>
      </c>
    </row>
    <row r="481" spans="1:29" x14ac:dyDescent="0.25">
      <c r="A481" s="14" t="str">
        <f t="shared" si="203"/>
        <v>VND-00481</v>
      </c>
      <c r="B481" s="5">
        <f t="shared" ca="1" si="204"/>
        <v>45667</v>
      </c>
      <c r="C481" s="2">
        <f t="shared" ca="1" si="205"/>
        <v>2025</v>
      </c>
      <c r="D481" s="2" t="str">
        <f t="shared" ca="1" si="206"/>
        <v>janeiro</v>
      </c>
      <c r="E481" s="2" t="str">
        <f t="shared" ca="1" si="207"/>
        <v>2025/01</v>
      </c>
      <c r="F481" s="14" t="str">
        <f t="shared" ca="1" si="208"/>
        <v>CLI-9928</v>
      </c>
      <c r="G481" s="2" t="str">
        <f t="shared" ca="1" si="209"/>
        <v>Lucas</v>
      </c>
      <c r="H481" s="2" t="str">
        <f t="shared" ca="1" si="210"/>
        <v>Recorrente</v>
      </c>
      <c r="I481" s="2" t="str">
        <f t="shared" ca="1" si="211"/>
        <v>Bruno</v>
      </c>
      <c r="J481" s="14" t="str">
        <f t="shared" ca="1" si="212"/>
        <v>VCL-9511</v>
      </c>
      <c r="K481" s="2" t="str">
        <f t="shared" ca="1" si="213"/>
        <v>Compass</v>
      </c>
      <c r="L481" s="2" t="str">
        <f t="shared" ca="1" si="214"/>
        <v>Jeep</v>
      </c>
      <c r="M481" s="2" t="str">
        <f t="shared" ca="1" si="215"/>
        <v>SUV</v>
      </c>
      <c r="N481" s="2">
        <f t="shared" ca="1" si="216"/>
        <v>2020</v>
      </c>
      <c r="O481" s="2" t="str">
        <f t="shared" ca="1" si="217"/>
        <v>Loja</v>
      </c>
      <c r="P481" s="2" t="str">
        <f t="shared" ca="1" si="218"/>
        <v>Sul</v>
      </c>
      <c r="Q481" s="2" t="str">
        <f t="shared" ca="1" si="219"/>
        <v>RS</v>
      </c>
      <c r="R481" s="2" t="str">
        <f t="shared" ca="1" si="220"/>
        <v>Canoas</v>
      </c>
      <c r="S481" s="8">
        <f t="shared" ca="1" si="221"/>
        <v>2</v>
      </c>
      <c r="T481" s="10">
        <f t="shared" ca="1" si="222"/>
        <v>137217</v>
      </c>
      <c r="U481" s="10">
        <f t="shared" ca="1" si="223"/>
        <v>98796.239999999991</v>
      </c>
      <c r="V481" s="10">
        <f t="shared" ca="1" si="224"/>
        <v>274434</v>
      </c>
      <c r="W481" s="10">
        <f t="shared" ca="1" si="225"/>
        <v>197592.47999999998</v>
      </c>
      <c r="X481" s="10">
        <f t="shared" ca="1" si="226"/>
        <v>76841.520000000019</v>
      </c>
      <c r="Y481" s="12">
        <f t="shared" ca="1" si="227"/>
        <v>0.28000000000000008</v>
      </c>
      <c r="Z481" s="2" t="str">
        <f t="shared" ca="1" si="228"/>
        <v>Em negociação</v>
      </c>
      <c r="AA481" s="8">
        <f t="shared" ca="1" si="229"/>
        <v>1</v>
      </c>
      <c r="AB481" s="2">
        <f t="shared" ca="1" si="230"/>
        <v>10</v>
      </c>
      <c r="AC481" s="2">
        <f t="shared" ca="1" si="231"/>
        <v>7</v>
      </c>
    </row>
    <row r="482" spans="1:29" x14ac:dyDescent="0.25">
      <c r="A482" s="14" t="str">
        <f t="shared" si="203"/>
        <v>VND-00482</v>
      </c>
      <c r="B482" s="5">
        <f t="shared" ca="1" si="204"/>
        <v>45038</v>
      </c>
      <c r="C482" s="2">
        <f t="shared" ca="1" si="205"/>
        <v>2023</v>
      </c>
      <c r="D482" s="2" t="str">
        <f t="shared" ca="1" si="206"/>
        <v>abril</v>
      </c>
      <c r="E482" s="2" t="str">
        <f t="shared" ca="1" si="207"/>
        <v>2023/04</v>
      </c>
      <c r="F482" s="14" t="str">
        <f t="shared" ca="1" si="208"/>
        <v>CLI-5520</v>
      </c>
      <c r="G482" s="2" t="str">
        <f t="shared" ca="1" si="209"/>
        <v>João</v>
      </c>
      <c r="H482" s="2" t="str">
        <f t="shared" ca="1" si="210"/>
        <v>Novo</v>
      </c>
      <c r="I482" s="2" t="str">
        <f t="shared" ca="1" si="211"/>
        <v>Rafael</v>
      </c>
      <c r="J482" s="14" t="str">
        <f t="shared" ca="1" si="212"/>
        <v>VCL-8037</v>
      </c>
      <c r="K482" s="2" t="str">
        <f t="shared" ca="1" si="213"/>
        <v>Civic</v>
      </c>
      <c r="L482" s="2" t="str">
        <f t="shared" ca="1" si="214"/>
        <v>Honda</v>
      </c>
      <c r="M482" s="2" t="str">
        <f t="shared" ca="1" si="215"/>
        <v>SUV</v>
      </c>
      <c r="N482" s="2">
        <f t="shared" ca="1" si="216"/>
        <v>2024</v>
      </c>
      <c r="O482" s="2" t="str">
        <f t="shared" ca="1" si="217"/>
        <v>Loja</v>
      </c>
      <c r="P482" s="2" t="str">
        <f t="shared" ca="1" si="218"/>
        <v>Sul</v>
      </c>
      <c r="Q482" s="2" t="str">
        <f t="shared" ca="1" si="219"/>
        <v>RS</v>
      </c>
      <c r="R482" s="2" t="str">
        <f t="shared" ca="1" si="220"/>
        <v>Santa Maria</v>
      </c>
      <c r="S482" s="8">
        <f t="shared" ca="1" si="221"/>
        <v>1</v>
      </c>
      <c r="T482" s="10">
        <f t="shared" ca="1" si="222"/>
        <v>198037</v>
      </c>
      <c r="U482" s="10">
        <f t="shared" ca="1" si="223"/>
        <v>140606.26999999999</v>
      </c>
      <c r="V482" s="10">
        <f t="shared" ca="1" si="224"/>
        <v>198037</v>
      </c>
      <c r="W482" s="10">
        <f t="shared" ca="1" si="225"/>
        <v>140606.26999999999</v>
      </c>
      <c r="X482" s="10">
        <f t="shared" ca="1" si="226"/>
        <v>57430.73000000001</v>
      </c>
      <c r="Y482" s="12">
        <f t="shared" ca="1" si="227"/>
        <v>0.29000000000000004</v>
      </c>
      <c r="Z482" s="2" t="str">
        <f t="shared" ca="1" si="228"/>
        <v>Concluída</v>
      </c>
      <c r="AA482" s="8">
        <f t="shared" ca="1" si="229"/>
        <v>8</v>
      </c>
      <c r="AB482" s="2">
        <f t="shared" ca="1" si="230"/>
        <v>13</v>
      </c>
      <c r="AC482" s="2">
        <f t="shared" ca="1" si="231"/>
        <v>7</v>
      </c>
    </row>
    <row r="483" spans="1:29" x14ac:dyDescent="0.25">
      <c r="A483" s="14" t="str">
        <f t="shared" si="203"/>
        <v>VND-00483</v>
      </c>
      <c r="B483" s="5">
        <f t="shared" ca="1" si="204"/>
        <v>45956</v>
      </c>
      <c r="C483" s="2">
        <f t="shared" ca="1" si="205"/>
        <v>2025</v>
      </c>
      <c r="D483" s="2" t="str">
        <f t="shared" ca="1" si="206"/>
        <v>outubro</v>
      </c>
      <c r="E483" s="2" t="str">
        <f t="shared" ca="1" si="207"/>
        <v>2025/10</v>
      </c>
      <c r="F483" s="14" t="str">
        <f t="shared" ca="1" si="208"/>
        <v>CLI-2366</v>
      </c>
      <c r="G483" s="2" t="str">
        <f t="shared" ca="1" si="209"/>
        <v>Ana</v>
      </c>
      <c r="H483" s="2" t="str">
        <f t="shared" ca="1" si="210"/>
        <v>Recorrente</v>
      </c>
      <c r="I483" s="2" t="str">
        <f t="shared" ca="1" si="211"/>
        <v>Diego</v>
      </c>
      <c r="J483" s="14" t="str">
        <f t="shared" ca="1" si="212"/>
        <v>VCL-5086</v>
      </c>
      <c r="K483" s="2" t="str">
        <f t="shared" ca="1" si="213"/>
        <v>Civic</v>
      </c>
      <c r="L483" s="2" t="str">
        <f t="shared" ca="1" si="214"/>
        <v>Honda</v>
      </c>
      <c r="M483" s="2" t="str">
        <f t="shared" ca="1" si="215"/>
        <v>SUV</v>
      </c>
      <c r="N483" s="2">
        <f t="shared" ca="1" si="216"/>
        <v>2021</v>
      </c>
      <c r="O483" s="2" t="str">
        <f t="shared" ca="1" si="217"/>
        <v>Loja</v>
      </c>
      <c r="P483" s="2" t="str">
        <f t="shared" ca="1" si="218"/>
        <v>Nordeste</v>
      </c>
      <c r="Q483" s="2" t="str">
        <f t="shared" ca="1" si="219"/>
        <v>PE</v>
      </c>
      <c r="R483" s="2" t="str">
        <f t="shared" ca="1" si="220"/>
        <v>Caruaru</v>
      </c>
      <c r="S483" s="8">
        <f t="shared" ca="1" si="221"/>
        <v>1</v>
      </c>
      <c r="T483" s="10">
        <f t="shared" ca="1" si="222"/>
        <v>60917</v>
      </c>
      <c r="U483" s="10">
        <f t="shared" ca="1" si="223"/>
        <v>51170.28</v>
      </c>
      <c r="V483" s="10">
        <f t="shared" ca="1" si="224"/>
        <v>60917</v>
      </c>
      <c r="W483" s="10">
        <f t="shared" ca="1" si="225"/>
        <v>51170.28</v>
      </c>
      <c r="X483" s="10">
        <f t="shared" ca="1" si="226"/>
        <v>9746.7200000000012</v>
      </c>
      <c r="Y483" s="12">
        <f t="shared" ca="1" si="227"/>
        <v>0.16000000000000003</v>
      </c>
      <c r="Z483" s="2" t="str">
        <f t="shared" ca="1" si="228"/>
        <v>Em negociação</v>
      </c>
      <c r="AA483" s="8">
        <f t="shared" ca="1" si="229"/>
        <v>6</v>
      </c>
      <c r="AB483" s="2">
        <f t="shared" ca="1" si="230"/>
        <v>17</v>
      </c>
      <c r="AC483" s="2">
        <f t="shared" ca="1" si="231"/>
        <v>7</v>
      </c>
    </row>
    <row r="484" spans="1:29" x14ac:dyDescent="0.25">
      <c r="A484" s="14" t="str">
        <f t="shared" si="203"/>
        <v>VND-00484</v>
      </c>
      <c r="B484" s="5">
        <f t="shared" ca="1" si="204"/>
        <v>45848</v>
      </c>
      <c r="C484" s="2">
        <f t="shared" ca="1" si="205"/>
        <v>2025</v>
      </c>
      <c r="D484" s="2" t="str">
        <f t="shared" ca="1" si="206"/>
        <v>julho</v>
      </c>
      <c r="E484" s="2" t="str">
        <f t="shared" ca="1" si="207"/>
        <v>2025/07</v>
      </c>
      <c r="F484" s="14" t="str">
        <f t="shared" ca="1" si="208"/>
        <v>CLI-3772</v>
      </c>
      <c r="G484" s="2" t="str">
        <f t="shared" ca="1" si="209"/>
        <v>Lucas</v>
      </c>
      <c r="H484" s="2" t="str">
        <f t="shared" ca="1" si="210"/>
        <v>Recorrente</v>
      </c>
      <c r="I484" s="2" t="str">
        <f t="shared" ca="1" si="211"/>
        <v>Rafael</v>
      </c>
      <c r="J484" s="14" t="str">
        <f t="shared" ca="1" si="212"/>
        <v>VCL-3863</v>
      </c>
      <c r="K484" s="2" t="str">
        <f t="shared" ca="1" si="213"/>
        <v>Compass</v>
      </c>
      <c r="L484" s="2" t="str">
        <f t="shared" ca="1" si="214"/>
        <v>Jeep</v>
      </c>
      <c r="M484" s="2" t="str">
        <f t="shared" ca="1" si="215"/>
        <v>SUV</v>
      </c>
      <c r="N484" s="2">
        <f t="shared" ca="1" si="216"/>
        <v>2022</v>
      </c>
      <c r="O484" s="2" t="str">
        <f t="shared" ca="1" si="217"/>
        <v>Loja</v>
      </c>
      <c r="P484" s="2" t="str">
        <f t="shared" ca="1" si="218"/>
        <v>Sul</v>
      </c>
      <c r="Q484" s="2" t="str">
        <f t="shared" ca="1" si="219"/>
        <v>RS</v>
      </c>
      <c r="R484" s="2" t="str">
        <f t="shared" ca="1" si="220"/>
        <v>Porto Alegre</v>
      </c>
      <c r="S484" s="8">
        <f t="shared" ca="1" si="221"/>
        <v>7</v>
      </c>
      <c r="T484" s="10">
        <f t="shared" ca="1" si="222"/>
        <v>107260</v>
      </c>
      <c r="U484" s="10">
        <f t="shared" ca="1" si="223"/>
        <v>89025.8</v>
      </c>
      <c r="V484" s="10">
        <f t="shared" ca="1" si="224"/>
        <v>750820</v>
      </c>
      <c r="W484" s="10">
        <f t="shared" ca="1" si="225"/>
        <v>623180.6</v>
      </c>
      <c r="X484" s="10">
        <f t="shared" ca="1" si="226"/>
        <v>127639.40000000002</v>
      </c>
      <c r="Y484" s="12">
        <f t="shared" ca="1" si="227"/>
        <v>0.17000000000000004</v>
      </c>
      <c r="Z484" s="2" t="str">
        <f t="shared" ca="1" si="228"/>
        <v>Cancelada</v>
      </c>
      <c r="AA484" s="8">
        <f t="shared" ca="1" si="229"/>
        <v>9</v>
      </c>
      <c r="AB484" s="2">
        <f t="shared" ca="1" si="230"/>
        <v>16</v>
      </c>
      <c r="AC484" s="2">
        <f t="shared" ca="1" si="231"/>
        <v>7</v>
      </c>
    </row>
    <row r="485" spans="1:29" x14ac:dyDescent="0.25">
      <c r="A485" s="14" t="str">
        <f t="shared" si="203"/>
        <v>VND-00485</v>
      </c>
      <c r="B485" s="5">
        <f t="shared" ca="1" si="204"/>
        <v>45773</v>
      </c>
      <c r="C485" s="2">
        <f t="shared" ca="1" si="205"/>
        <v>2025</v>
      </c>
      <c r="D485" s="2" t="str">
        <f t="shared" ca="1" si="206"/>
        <v>abril</v>
      </c>
      <c r="E485" s="2" t="str">
        <f t="shared" ca="1" si="207"/>
        <v>2025/04</v>
      </c>
      <c r="F485" s="14" t="str">
        <f t="shared" ca="1" si="208"/>
        <v>CLI-3875</v>
      </c>
      <c r="G485" s="2" t="str">
        <f t="shared" ca="1" si="209"/>
        <v>Juliana</v>
      </c>
      <c r="H485" s="2" t="str">
        <f t="shared" ca="1" si="210"/>
        <v>Novo</v>
      </c>
      <c r="I485" s="2" t="str">
        <f t="shared" ca="1" si="211"/>
        <v>Amanda</v>
      </c>
      <c r="J485" s="14" t="str">
        <f t="shared" ca="1" si="212"/>
        <v>VCL-2523</v>
      </c>
      <c r="K485" s="2" t="str">
        <f t="shared" ca="1" si="213"/>
        <v>Civic</v>
      </c>
      <c r="L485" s="2" t="str">
        <f t="shared" ca="1" si="214"/>
        <v>Honda</v>
      </c>
      <c r="M485" s="2" t="str">
        <f t="shared" ca="1" si="215"/>
        <v>SUV</v>
      </c>
      <c r="N485" s="2">
        <f t="shared" ca="1" si="216"/>
        <v>2023</v>
      </c>
      <c r="O485" s="2" t="str">
        <f t="shared" ca="1" si="217"/>
        <v>Online</v>
      </c>
      <c r="P485" s="2" t="str">
        <f t="shared" ca="1" si="218"/>
        <v>Norte</v>
      </c>
      <c r="Q485" s="2" t="str">
        <f t="shared" ca="1" si="219"/>
        <v>AM</v>
      </c>
      <c r="R485" s="2" t="str">
        <f t="shared" ca="1" si="220"/>
        <v>Manacapuru</v>
      </c>
      <c r="S485" s="8">
        <f t="shared" ca="1" si="221"/>
        <v>7</v>
      </c>
      <c r="T485" s="10">
        <f t="shared" ca="1" si="222"/>
        <v>136995</v>
      </c>
      <c r="U485" s="10">
        <f t="shared" ca="1" si="223"/>
        <v>104116.2</v>
      </c>
      <c r="V485" s="10">
        <f t="shared" ca="1" si="224"/>
        <v>958965</v>
      </c>
      <c r="W485" s="10">
        <f t="shared" ca="1" si="225"/>
        <v>728813.4</v>
      </c>
      <c r="X485" s="10">
        <f t="shared" ca="1" si="226"/>
        <v>230151.59999999998</v>
      </c>
      <c r="Y485" s="12">
        <f t="shared" ca="1" si="227"/>
        <v>0.23999999999999996</v>
      </c>
      <c r="Z485" s="2" t="str">
        <f t="shared" ca="1" si="228"/>
        <v>Em negociação</v>
      </c>
      <c r="AA485" s="8">
        <f t="shared" ca="1" si="229"/>
        <v>27</v>
      </c>
      <c r="AB485" s="2">
        <f t="shared" ca="1" si="230"/>
        <v>17</v>
      </c>
      <c r="AC485" s="2">
        <f t="shared" ca="1" si="231"/>
        <v>7</v>
      </c>
    </row>
    <row r="486" spans="1:29" x14ac:dyDescent="0.25">
      <c r="A486" s="14" t="str">
        <f t="shared" si="203"/>
        <v>VND-00486</v>
      </c>
      <c r="B486" s="5">
        <f t="shared" ca="1" si="204"/>
        <v>45393</v>
      </c>
      <c r="C486" s="2">
        <f t="shared" ca="1" si="205"/>
        <v>2024</v>
      </c>
      <c r="D486" s="2" t="str">
        <f t="shared" ca="1" si="206"/>
        <v>abril</v>
      </c>
      <c r="E486" s="2" t="str">
        <f t="shared" ca="1" si="207"/>
        <v>2024/04</v>
      </c>
      <c r="F486" s="14" t="str">
        <f t="shared" ca="1" si="208"/>
        <v>CLI-4606</v>
      </c>
      <c r="G486" s="2" t="str">
        <f t="shared" ca="1" si="209"/>
        <v>Fernanda</v>
      </c>
      <c r="H486" s="2" t="str">
        <f t="shared" ca="1" si="210"/>
        <v>Recorrente</v>
      </c>
      <c r="I486" s="2" t="str">
        <f t="shared" ca="1" si="211"/>
        <v>Patricia</v>
      </c>
      <c r="J486" s="14" t="str">
        <f t="shared" ca="1" si="212"/>
        <v>VCL-2207</v>
      </c>
      <c r="K486" s="2" t="str">
        <f t="shared" ca="1" si="213"/>
        <v>HB20</v>
      </c>
      <c r="L486" s="2" t="str">
        <f t="shared" ca="1" si="214"/>
        <v>Hyundai</v>
      </c>
      <c r="M486" s="2" t="str">
        <f t="shared" ca="1" si="215"/>
        <v>Popular</v>
      </c>
      <c r="N486" s="2">
        <f t="shared" ca="1" si="216"/>
        <v>2020</v>
      </c>
      <c r="O486" s="2" t="str">
        <f t="shared" ca="1" si="217"/>
        <v>Loja</v>
      </c>
      <c r="P486" s="2" t="str">
        <f t="shared" ca="1" si="218"/>
        <v>Nordeste</v>
      </c>
      <c r="Q486" s="2" t="str">
        <f t="shared" ca="1" si="219"/>
        <v>CE</v>
      </c>
      <c r="R486" s="2" t="str">
        <f t="shared" ca="1" si="220"/>
        <v>Fortaleza</v>
      </c>
      <c r="S486" s="8">
        <f t="shared" ca="1" si="221"/>
        <v>2</v>
      </c>
      <c r="T486" s="10">
        <f t="shared" ca="1" si="222"/>
        <v>167201</v>
      </c>
      <c r="U486" s="10">
        <f t="shared" ca="1" si="223"/>
        <v>130416.78</v>
      </c>
      <c r="V486" s="10">
        <f t="shared" ca="1" si="224"/>
        <v>334402</v>
      </c>
      <c r="W486" s="10">
        <f t="shared" ca="1" si="225"/>
        <v>260833.56</v>
      </c>
      <c r="X486" s="10">
        <f t="shared" ca="1" si="226"/>
        <v>73568.44</v>
      </c>
      <c r="Y486" s="12">
        <f t="shared" ca="1" si="227"/>
        <v>0.22</v>
      </c>
      <c r="Z486" s="2" t="str">
        <f t="shared" ca="1" si="228"/>
        <v>Cancelada</v>
      </c>
      <c r="AA486" s="8">
        <f t="shared" ca="1" si="229"/>
        <v>12</v>
      </c>
      <c r="AB486" s="2">
        <f t="shared" ca="1" si="230"/>
        <v>16</v>
      </c>
      <c r="AC486" s="2">
        <f t="shared" ca="1" si="231"/>
        <v>10</v>
      </c>
    </row>
    <row r="487" spans="1:29" x14ac:dyDescent="0.25">
      <c r="A487" s="14" t="str">
        <f t="shared" si="203"/>
        <v>VND-00487</v>
      </c>
      <c r="B487" s="5">
        <f t="shared" ca="1" si="204"/>
        <v>45266</v>
      </c>
      <c r="C487" s="2">
        <f t="shared" ca="1" si="205"/>
        <v>2023</v>
      </c>
      <c r="D487" s="2" t="str">
        <f t="shared" ca="1" si="206"/>
        <v>dezembro</v>
      </c>
      <c r="E487" s="2" t="str">
        <f t="shared" ca="1" si="207"/>
        <v>2023/12</v>
      </c>
      <c r="F487" s="14" t="str">
        <f t="shared" ca="1" si="208"/>
        <v>CLI-4831</v>
      </c>
      <c r="G487" s="2" t="str">
        <f t="shared" ca="1" si="209"/>
        <v>Fernanda</v>
      </c>
      <c r="H487" s="2" t="str">
        <f t="shared" ca="1" si="210"/>
        <v>Novo</v>
      </c>
      <c r="I487" s="2" t="str">
        <f t="shared" ca="1" si="211"/>
        <v>Tatiane</v>
      </c>
      <c r="J487" s="14" t="str">
        <f t="shared" ca="1" si="212"/>
        <v>VCL-5166</v>
      </c>
      <c r="K487" s="2" t="str">
        <f t="shared" ca="1" si="213"/>
        <v>Onix</v>
      </c>
      <c r="L487" s="2" t="str">
        <f t="shared" ca="1" si="214"/>
        <v>Chevrolet</v>
      </c>
      <c r="M487" s="2" t="str">
        <f t="shared" ca="1" si="215"/>
        <v>Popular</v>
      </c>
      <c r="N487" s="2">
        <f t="shared" ca="1" si="216"/>
        <v>2019</v>
      </c>
      <c r="O487" s="2" t="str">
        <f t="shared" ca="1" si="217"/>
        <v>Loja</v>
      </c>
      <c r="P487" s="2" t="str">
        <f t="shared" ca="1" si="218"/>
        <v>Norte</v>
      </c>
      <c r="Q487" s="2" t="str">
        <f t="shared" ca="1" si="219"/>
        <v>PA</v>
      </c>
      <c r="R487" s="2" t="str">
        <f t="shared" ca="1" si="220"/>
        <v>Santarém</v>
      </c>
      <c r="S487" s="8">
        <f t="shared" ca="1" si="221"/>
        <v>9</v>
      </c>
      <c r="T487" s="10">
        <f t="shared" ca="1" si="222"/>
        <v>212054</v>
      </c>
      <c r="U487" s="10">
        <f t="shared" ca="1" si="223"/>
        <v>163281.58000000002</v>
      </c>
      <c r="V487" s="10">
        <f t="shared" ca="1" si="224"/>
        <v>1908486</v>
      </c>
      <c r="W487" s="10">
        <f t="shared" ca="1" si="225"/>
        <v>1469534.2200000002</v>
      </c>
      <c r="X487" s="10">
        <f t="shared" ca="1" si="226"/>
        <v>438951.7799999998</v>
      </c>
      <c r="Y487" s="12">
        <f t="shared" ca="1" si="227"/>
        <v>0.2299999999999999</v>
      </c>
      <c r="Z487" s="2" t="str">
        <f t="shared" ca="1" si="228"/>
        <v>Concluída</v>
      </c>
      <c r="AA487" s="8">
        <f t="shared" ca="1" si="229"/>
        <v>12</v>
      </c>
      <c r="AB487" s="2">
        <f t="shared" ca="1" si="230"/>
        <v>19</v>
      </c>
      <c r="AC487" s="2">
        <f t="shared" ca="1" si="231"/>
        <v>10</v>
      </c>
    </row>
    <row r="488" spans="1:29" x14ac:dyDescent="0.25">
      <c r="A488" s="14" t="str">
        <f t="shared" si="203"/>
        <v>VND-00488</v>
      </c>
      <c r="B488" s="5">
        <f t="shared" ca="1" si="204"/>
        <v>45624</v>
      </c>
      <c r="C488" s="2">
        <f t="shared" ca="1" si="205"/>
        <v>2024</v>
      </c>
      <c r="D488" s="2" t="str">
        <f t="shared" ca="1" si="206"/>
        <v>novembro</v>
      </c>
      <c r="E488" s="2" t="str">
        <f t="shared" ca="1" si="207"/>
        <v>2024/11</v>
      </c>
      <c r="F488" s="14" t="str">
        <f t="shared" ca="1" si="208"/>
        <v>CLI-1838</v>
      </c>
      <c r="G488" s="2" t="str">
        <f t="shared" ca="1" si="209"/>
        <v>Maria</v>
      </c>
      <c r="H488" s="2" t="str">
        <f t="shared" ca="1" si="210"/>
        <v>Recorrente</v>
      </c>
      <c r="I488" s="2" t="str">
        <f t="shared" ca="1" si="211"/>
        <v>Carla</v>
      </c>
      <c r="J488" s="14" t="str">
        <f t="shared" ca="1" si="212"/>
        <v>VCL-5935</v>
      </c>
      <c r="K488" s="2" t="str">
        <f t="shared" ca="1" si="213"/>
        <v>BMW X1</v>
      </c>
      <c r="L488" s="2" t="str">
        <f t="shared" ca="1" si="214"/>
        <v>BMW</v>
      </c>
      <c r="M488" s="2" t="str">
        <f t="shared" ca="1" si="215"/>
        <v>Luxo</v>
      </c>
      <c r="N488" s="2">
        <f t="shared" ca="1" si="216"/>
        <v>2016</v>
      </c>
      <c r="O488" s="2" t="str">
        <f t="shared" ca="1" si="217"/>
        <v>Loja</v>
      </c>
      <c r="P488" s="2" t="str">
        <f t="shared" ca="1" si="218"/>
        <v>Sul</v>
      </c>
      <c r="Q488" s="2" t="str">
        <f t="shared" ca="1" si="219"/>
        <v>PR</v>
      </c>
      <c r="R488" s="2" t="str">
        <f t="shared" ca="1" si="220"/>
        <v>Maringá</v>
      </c>
      <c r="S488" s="8">
        <f t="shared" ca="1" si="221"/>
        <v>4</v>
      </c>
      <c r="T488" s="10">
        <f t="shared" ca="1" si="222"/>
        <v>97641</v>
      </c>
      <c r="U488" s="10">
        <f t="shared" ca="1" si="223"/>
        <v>70301.52</v>
      </c>
      <c r="V488" s="10">
        <f t="shared" ca="1" si="224"/>
        <v>390564</v>
      </c>
      <c r="W488" s="10">
        <f t="shared" ca="1" si="225"/>
        <v>281206.08</v>
      </c>
      <c r="X488" s="10">
        <f t="shared" ca="1" si="226"/>
        <v>109357.91999999998</v>
      </c>
      <c r="Y488" s="12">
        <f t="shared" ca="1" si="227"/>
        <v>0.27999999999999997</v>
      </c>
      <c r="Z488" s="2" t="str">
        <f t="shared" ca="1" si="228"/>
        <v>Cancelada</v>
      </c>
      <c r="AA488" s="8">
        <f t="shared" ca="1" si="229"/>
        <v>18</v>
      </c>
      <c r="AB488" s="2">
        <f t="shared" ca="1" si="230"/>
        <v>6</v>
      </c>
      <c r="AC488" s="2">
        <f t="shared" ca="1" si="231"/>
        <v>3</v>
      </c>
    </row>
    <row r="489" spans="1:29" x14ac:dyDescent="0.25">
      <c r="A489" s="14" t="str">
        <f t="shared" si="203"/>
        <v>VND-00489</v>
      </c>
      <c r="B489" s="5">
        <f t="shared" ca="1" si="204"/>
        <v>45664</v>
      </c>
      <c r="C489" s="2">
        <f t="shared" ca="1" si="205"/>
        <v>2025</v>
      </c>
      <c r="D489" s="2" t="str">
        <f t="shared" ca="1" si="206"/>
        <v>janeiro</v>
      </c>
      <c r="E489" s="2" t="str">
        <f t="shared" ca="1" si="207"/>
        <v>2025/01</v>
      </c>
      <c r="F489" s="14" t="str">
        <f t="shared" ca="1" si="208"/>
        <v>CLI-5318</v>
      </c>
      <c r="G489" s="2" t="str">
        <f t="shared" ca="1" si="209"/>
        <v>Rafael</v>
      </c>
      <c r="H489" s="2" t="str">
        <f t="shared" ca="1" si="210"/>
        <v>Novo</v>
      </c>
      <c r="I489" s="2" t="str">
        <f t="shared" ca="1" si="211"/>
        <v>Tatiane</v>
      </c>
      <c r="J489" s="14" t="str">
        <f t="shared" ca="1" si="212"/>
        <v>VCL-3696</v>
      </c>
      <c r="K489" s="2" t="str">
        <f t="shared" ca="1" si="213"/>
        <v>BMW X1</v>
      </c>
      <c r="L489" s="2" t="str">
        <f t="shared" ca="1" si="214"/>
        <v>BMW</v>
      </c>
      <c r="M489" s="2" t="str">
        <f t="shared" ca="1" si="215"/>
        <v>Luxo</v>
      </c>
      <c r="N489" s="2">
        <f t="shared" ca="1" si="216"/>
        <v>2017</v>
      </c>
      <c r="O489" s="2" t="str">
        <f t="shared" ca="1" si="217"/>
        <v>Loja</v>
      </c>
      <c r="P489" s="2" t="str">
        <f t="shared" ca="1" si="218"/>
        <v>Norte</v>
      </c>
      <c r="Q489" s="2" t="str">
        <f t="shared" ca="1" si="219"/>
        <v>AM</v>
      </c>
      <c r="R489" s="2" t="str">
        <f t="shared" ca="1" si="220"/>
        <v>Parintins</v>
      </c>
      <c r="S489" s="8">
        <f t="shared" ca="1" si="221"/>
        <v>7</v>
      </c>
      <c r="T489" s="10">
        <f t="shared" ca="1" si="222"/>
        <v>155084</v>
      </c>
      <c r="U489" s="10">
        <f t="shared" ca="1" si="223"/>
        <v>111660.48</v>
      </c>
      <c r="V489" s="10">
        <f t="shared" ca="1" si="224"/>
        <v>1085588</v>
      </c>
      <c r="W489" s="10">
        <f t="shared" ca="1" si="225"/>
        <v>781623.36</v>
      </c>
      <c r="X489" s="10">
        <f t="shared" ca="1" si="226"/>
        <v>303964.64</v>
      </c>
      <c r="Y489" s="12">
        <f t="shared" ca="1" si="227"/>
        <v>0.28000000000000003</v>
      </c>
      <c r="Z489" s="2" t="str">
        <f t="shared" ca="1" si="228"/>
        <v>Cancelada</v>
      </c>
      <c r="AA489" s="8">
        <f t="shared" ca="1" si="229"/>
        <v>22</v>
      </c>
      <c r="AB489" s="2">
        <f t="shared" ca="1" si="230"/>
        <v>3</v>
      </c>
      <c r="AC489" s="2">
        <f t="shared" ca="1" si="231"/>
        <v>3</v>
      </c>
    </row>
    <row r="490" spans="1:29" x14ac:dyDescent="0.25">
      <c r="A490" s="14" t="str">
        <f t="shared" si="203"/>
        <v>VND-00490</v>
      </c>
      <c r="B490" s="5">
        <f t="shared" ca="1" si="204"/>
        <v>45039</v>
      </c>
      <c r="C490" s="2">
        <f t="shared" ca="1" si="205"/>
        <v>2023</v>
      </c>
      <c r="D490" s="2" t="str">
        <f t="shared" ca="1" si="206"/>
        <v>abril</v>
      </c>
      <c r="E490" s="2" t="str">
        <f t="shared" ca="1" si="207"/>
        <v>2023/04</v>
      </c>
      <c r="F490" s="14" t="str">
        <f t="shared" ca="1" si="208"/>
        <v>CLI-1436</v>
      </c>
      <c r="G490" s="2" t="str">
        <f t="shared" ca="1" si="209"/>
        <v>Juliana</v>
      </c>
      <c r="H490" s="2" t="str">
        <f t="shared" ca="1" si="210"/>
        <v>Novo</v>
      </c>
      <c r="I490" s="2" t="str">
        <f t="shared" ca="1" si="211"/>
        <v>Carlos</v>
      </c>
      <c r="J490" s="14" t="str">
        <f t="shared" ca="1" si="212"/>
        <v>VCL-6284</v>
      </c>
      <c r="K490" s="2" t="str">
        <f t="shared" ca="1" si="213"/>
        <v>BMW X1</v>
      </c>
      <c r="L490" s="2" t="str">
        <f t="shared" ca="1" si="214"/>
        <v>BMW</v>
      </c>
      <c r="M490" s="2" t="str">
        <f t="shared" ca="1" si="215"/>
        <v>Luxo</v>
      </c>
      <c r="N490" s="2">
        <f t="shared" ca="1" si="216"/>
        <v>2018</v>
      </c>
      <c r="O490" s="2" t="str">
        <f t="shared" ca="1" si="217"/>
        <v>Online</v>
      </c>
      <c r="P490" s="2" t="str">
        <f t="shared" ca="1" si="218"/>
        <v>Norte</v>
      </c>
      <c r="Q490" s="2" t="str">
        <f t="shared" ca="1" si="219"/>
        <v>PA</v>
      </c>
      <c r="R490" s="2" t="str">
        <f t="shared" ca="1" si="220"/>
        <v>Ananindeua</v>
      </c>
      <c r="S490" s="8">
        <f t="shared" ca="1" si="221"/>
        <v>5</v>
      </c>
      <c r="T490" s="10">
        <f t="shared" ca="1" si="222"/>
        <v>117970</v>
      </c>
      <c r="U490" s="10">
        <f t="shared" ca="1" si="223"/>
        <v>84938.4</v>
      </c>
      <c r="V490" s="10">
        <f t="shared" ca="1" si="224"/>
        <v>589850</v>
      </c>
      <c r="W490" s="10">
        <f t="shared" ca="1" si="225"/>
        <v>424692</v>
      </c>
      <c r="X490" s="10">
        <f t="shared" ca="1" si="226"/>
        <v>165158</v>
      </c>
      <c r="Y490" s="12">
        <f t="shared" ca="1" si="227"/>
        <v>0.28000000000000003</v>
      </c>
      <c r="Z490" s="2" t="str">
        <f t="shared" ca="1" si="228"/>
        <v>Em negociação</v>
      </c>
      <c r="AA490" s="8">
        <f t="shared" ca="1" si="229"/>
        <v>17</v>
      </c>
      <c r="AB490" s="2">
        <f t="shared" ca="1" si="230"/>
        <v>9</v>
      </c>
      <c r="AC490" s="2">
        <f t="shared" ca="1" si="231"/>
        <v>3</v>
      </c>
    </row>
    <row r="491" spans="1:29" x14ac:dyDescent="0.25">
      <c r="A491" s="14" t="str">
        <f t="shared" si="203"/>
        <v>VND-00491</v>
      </c>
      <c r="B491" s="5">
        <f t="shared" ca="1" si="204"/>
        <v>45601</v>
      </c>
      <c r="C491" s="2">
        <f t="shared" ca="1" si="205"/>
        <v>2024</v>
      </c>
      <c r="D491" s="2" t="str">
        <f t="shared" ca="1" si="206"/>
        <v>novembro</v>
      </c>
      <c r="E491" s="2" t="str">
        <f t="shared" ca="1" si="207"/>
        <v>2024/11</v>
      </c>
      <c r="F491" s="14" t="str">
        <f t="shared" ca="1" si="208"/>
        <v>CLI-4142</v>
      </c>
      <c r="G491" s="2" t="str">
        <f t="shared" ca="1" si="209"/>
        <v>Juliana</v>
      </c>
      <c r="H491" s="2" t="str">
        <f t="shared" ca="1" si="210"/>
        <v>Novo</v>
      </c>
      <c r="I491" s="2" t="str">
        <f t="shared" ca="1" si="211"/>
        <v>Tatiane</v>
      </c>
      <c r="J491" s="14" t="str">
        <f t="shared" ca="1" si="212"/>
        <v>VCL-9456</v>
      </c>
      <c r="K491" s="2" t="str">
        <f t="shared" ca="1" si="213"/>
        <v>Civic</v>
      </c>
      <c r="L491" s="2" t="str">
        <f t="shared" ca="1" si="214"/>
        <v>Honda</v>
      </c>
      <c r="M491" s="2" t="str">
        <f t="shared" ca="1" si="215"/>
        <v>SUV</v>
      </c>
      <c r="N491" s="2">
        <f t="shared" ca="1" si="216"/>
        <v>2016</v>
      </c>
      <c r="O491" s="2" t="str">
        <f t="shared" ca="1" si="217"/>
        <v>Loja</v>
      </c>
      <c r="P491" s="2" t="str">
        <f t="shared" ca="1" si="218"/>
        <v>Norte</v>
      </c>
      <c r="Q491" s="2" t="str">
        <f t="shared" ca="1" si="219"/>
        <v>AM</v>
      </c>
      <c r="R491" s="2" t="str">
        <f t="shared" ca="1" si="220"/>
        <v>Parintins</v>
      </c>
      <c r="S491" s="8">
        <f t="shared" ca="1" si="221"/>
        <v>7</v>
      </c>
      <c r="T491" s="10">
        <f t="shared" ca="1" si="222"/>
        <v>241494</v>
      </c>
      <c r="U491" s="10">
        <f t="shared" ca="1" si="223"/>
        <v>190780.26</v>
      </c>
      <c r="V491" s="10">
        <f t="shared" ca="1" si="224"/>
        <v>1690458</v>
      </c>
      <c r="W491" s="10">
        <f t="shared" ca="1" si="225"/>
        <v>1335461.82</v>
      </c>
      <c r="X491" s="10">
        <f t="shared" ca="1" si="226"/>
        <v>354996.17999999993</v>
      </c>
      <c r="Y491" s="12">
        <f t="shared" ca="1" si="227"/>
        <v>0.20999999999999996</v>
      </c>
      <c r="Z491" s="2" t="str">
        <f t="shared" ca="1" si="228"/>
        <v>Em negociação</v>
      </c>
      <c r="AA491" s="8">
        <f t="shared" ca="1" si="229"/>
        <v>11</v>
      </c>
      <c r="AB491" s="2">
        <f t="shared" ca="1" si="230"/>
        <v>12</v>
      </c>
      <c r="AC491" s="2">
        <f t="shared" ca="1" si="231"/>
        <v>7</v>
      </c>
    </row>
    <row r="492" spans="1:29" x14ac:dyDescent="0.25">
      <c r="A492" s="14" t="str">
        <f t="shared" si="203"/>
        <v>VND-00492</v>
      </c>
      <c r="B492" s="5">
        <f t="shared" ca="1" si="204"/>
        <v>45466</v>
      </c>
      <c r="C492" s="2">
        <f t="shared" ca="1" si="205"/>
        <v>2024</v>
      </c>
      <c r="D492" s="2" t="str">
        <f t="shared" ca="1" si="206"/>
        <v>junho</v>
      </c>
      <c r="E492" s="2" t="str">
        <f t="shared" ca="1" si="207"/>
        <v>2024/06</v>
      </c>
      <c r="F492" s="14" t="str">
        <f t="shared" ca="1" si="208"/>
        <v>CLI-3087</v>
      </c>
      <c r="G492" s="2" t="str">
        <f t="shared" ca="1" si="209"/>
        <v>Rafael</v>
      </c>
      <c r="H492" s="2" t="str">
        <f t="shared" ca="1" si="210"/>
        <v>Novo</v>
      </c>
      <c r="I492" s="2" t="str">
        <f t="shared" ca="1" si="211"/>
        <v>Diego</v>
      </c>
      <c r="J492" s="14" t="str">
        <f t="shared" ca="1" si="212"/>
        <v>VCL-9852</v>
      </c>
      <c r="K492" s="2" t="str">
        <f t="shared" ca="1" si="213"/>
        <v>HB20</v>
      </c>
      <c r="L492" s="2" t="str">
        <f t="shared" ca="1" si="214"/>
        <v>Hyundai</v>
      </c>
      <c r="M492" s="2" t="str">
        <f t="shared" ca="1" si="215"/>
        <v>Popular</v>
      </c>
      <c r="N492" s="2">
        <f t="shared" ca="1" si="216"/>
        <v>2024</v>
      </c>
      <c r="O492" s="2" t="str">
        <f t="shared" ca="1" si="217"/>
        <v>Loja</v>
      </c>
      <c r="P492" s="2" t="str">
        <f t="shared" ca="1" si="218"/>
        <v>Nordeste</v>
      </c>
      <c r="Q492" s="2" t="str">
        <f t="shared" ca="1" si="219"/>
        <v>PE</v>
      </c>
      <c r="R492" s="2" t="str">
        <f t="shared" ca="1" si="220"/>
        <v>Petrolina</v>
      </c>
      <c r="S492" s="8">
        <f t="shared" ca="1" si="221"/>
        <v>9</v>
      </c>
      <c r="T492" s="10">
        <f t="shared" ca="1" si="222"/>
        <v>224549</v>
      </c>
      <c r="U492" s="10">
        <f t="shared" ca="1" si="223"/>
        <v>188621.16</v>
      </c>
      <c r="V492" s="10">
        <f t="shared" ca="1" si="224"/>
        <v>2020941</v>
      </c>
      <c r="W492" s="10">
        <f t="shared" ca="1" si="225"/>
        <v>1697590.44</v>
      </c>
      <c r="X492" s="10">
        <f t="shared" ca="1" si="226"/>
        <v>323350.56000000006</v>
      </c>
      <c r="Y492" s="12">
        <f t="shared" ca="1" si="227"/>
        <v>0.16000000000000003</v>
      </c>
      <c r="Z492" s="2" t="str">
        <f t="shared" ca="1" si="228"/>
        <v>Concluída</v>
      </c>
      <c r="AA492" s="8">
        <f t="shared" ca="1" si="229"/>
        <v>17</v>
      </c>
      <c r="AB492" s="2">
        <f t="shared" ca="1" si="230"/>
        <v>24</v>
      </c>
      <c r="AC492" s="2">
        <f t="shared" ca="1" si="231"/>
        <v>10</v>
      </c>
    </row>
    <row r="493" spans="1:29" x14ac:dyDescent="0.25">
      <c r="A493" s="14" t="str">
        <f t="shared" si="203"/>
        <v>VND-00493</v>
      </c>
      <c r="B493" s="5">
        <f t="shared" ca="1" si="204"/>
        <v>45339</v>
      </c>
      <c r="C493" s="2">
        <f t="shared" ca="1" si="205"/>
        <v>2024</v>
      </c>
      <c r="D493" s="2" t="str">
        <f t="shared" ca="1" si="206"/>
        <v>fevereiro</v>
      </c>
      <c r="E493" s="2" t="str">
        <f t="shared" ca="1" si="207"/>
        <v>2024/02</v>
      </c>
      <c r="F493" s="14" t="str">
        <f t="shared" ca="1" si="208"/>
        <v>CLI-7902</v>
      </c>
      <c r="G493" s="2" t="str">
        <f t="shared" ca="1" si="209"/>
        <v>Carlos</v>
      </c>
      <c r="H493" s="2" t="str">
        <f t="shared" ca="1" si="210"/>
        <v>Recorrente</v>
      </c>
      <c r="I493" s="2" t="str">
        <f t="shared" ca="1" si="211"/>
        <v>Camila</v>
      </c>
      <c r="J493" s="14" t="str">
        <f t="shared" ca="1" si="212"/>
        <v>VCL-8126</v>
      </c>
      <c r="K493" s="2" t="str">
        <f t="shared" ca="1" si="213"/>
        <v>Onix</v>
      </c>
      <c r="L493" s="2" t="str">
        <f t="shared" ca="1" si="214"/>
        <v>Chevrolet</v>
      </c>
      <c r="M493" s="2" t="str">
        <f t="shared" ca="1" si="215"/>
        <v>Popular</v>
      </c>
      <c r="N493" s="2">
        <f t="shared" ca="1" si="216"/>
        <v>2021</v>
      </c>
      <c r="O493" s="2" t="str">
        <f t="shared" ca="1" si="217"/>
        <v>Loja</v>
      </c>
      <c r="P493" s="2" t="str">
        <f t="shared" ca="1" si="218"/>
        <v>Centro-Oeste</v>
      </c>
      <c r="Q493" s="2" t="str">
        <f t="shared" ca="1" si="219"/>
        <v>GO</v>
      </c>
      <c r="R493" s="2" t="str">
        <f t="shared" ca="1" si="220"/>
        <v>Anápolis</v>
      </c>
      <c r="S493" s="8">
        <f t="shared" ca="1" si="221"/>
        <v>9</v>
      </c>
      <c r="T493" s="10">
        <f t="shared" ca="1" si="222"/>
        <v>160796</v>
      </c>
      <c r="U493" s="10">
        <f t="shared" ca="1" si="223"/>
        <v>112557.2</v>
      </c>
      <c r="V493" s="10">
        <f t="shared" ca="1" si="224"/>
        <v>1447164</v>
      </c>
      <c r="W493" s="10">
        <f t="shared" ca="1" si="225"/>
        <v>1013014.7999999999</v>
      </c>
      <c r="X493" s="10">
        <f t="shared" ca="1" si="226"/>
        <v>434149.20000000007</v>
      </c>
      <c r="Y493" s="12">
        <f t="shared" ca="1" si="227"/>
        <v>0.30000000000000004</v>
      </c>
      <c r="Z493" s="2" t="str">
        <f t="shared" ca="1" si="228"/>
        <v>Em negociação</v>
      </c>
      <c r="AA493" s="8">
        <f t="shared" ca="1" si="229"/>
        <v>6</v>
      </c>
      <c r="AB493" s="2">
        <f t="shared" ca="1" si="230"/>
        <v>20</v>
      </c>
      <c r="AC493" s="2">
        <f t="shared" ca="1" si="231"/>
        <v>10</v>
      </c>
    </row>
    <row r="494" spans="1:29" x14ac:dyDescent="0.25">
      <c r="A494" s="14" t="str">
        <f t="shared" si="203"/>
        <v>VND-00494</v>
      </c>
      <c r="B494" s="5">
        <f t="shared" ca="1" si="204"/>
        <v>45361</v>
      </c>
      <c r="C494" s="2">
        <f t="shared" ca="1" si="205"/>
        <v>2024</v>
      </c>
      <c r="D494" s="2" t="str">
        <f t="shared" ca="1" si="206"/>
        <v>março</v>
      </c>
      <c r="E494" s="2" t="str">
        <f t="shared" ca="1" si="207"/>
        <v>2024/03</v>
      </c>
      <c r="F494" s="14" t="str">
        <f t="shared" ca="1" si="208"/>
        <v>CLI-2432</v>
      </c>
      <c r="G494" s="2" t="str">
        <f t="shared" ca="1" si="209"/>
        <v>Ana</v>
      </c>
      <c r="H494" s="2" t="str">
        <f t="shared" ca="1" si="210"/>
        <v>Novo</v>
      </c>
      <c r="I494" s="2" t="str">
        <f t="shared" ca="1" si="211"/>
        <v>Ana</v>
      </c>
      <c r="J494" s="14" t="str">
        <f t="shared" ca="1" si="212"/>
        <v>VCL-8515</v>
      </c>
      <c r="K494" s="2" t="str">
        <f t="shared" ca="1" si="213"/>
        <v>Onix</v>
      </c>
      <c r="L494" s="2" t="str">
        <f t="shared" ca="1" si="214"/>
        <v>Chevrolet</v>
      </c>
      <c r="M494" s="2" t="str">
        <f t="shared" ca="1" si="215"/>
        <v>Popular</v>
      </c>
      <c r="N494" s="2">
        <f t="shared" ca="1" si="216"/>
        <v>2020</v>
      </c>
      <c r="O494" s="2" t="str">
        <f t="shared" ca="1" si="217"/>
        <v>Loja</v>
      </c>
      <c r="P494" s="2" t="str">
        <f t="shared" ca="1" si="218"/>
        <v>Sudeste</v>
      </c>
      <c r="Q494" s="2" t="str">
        <f t="shared" ca="1" si="219"/>
        <v>MG</v>
      </c>
      <c r="R494" s="2" t="str">
        <f t="shared" ca="1" si="220"/>
        <v>Belo Horizonte</v>
      </c>
      <c r="S494" s="8">
        <f t="shared" ca="1" si="221"/>
        <v>5</v>
      </c>
      <c r="T494" s="10">
        <f t="shared" ca="1" si="222"/>
        <v>179554</v>
      </c>
      <c r="U494" s="10">
        <f t="shared" ca="1" si="223"/>
        <v>152620.9</v>
      </c>
      <c r="V494" s="10">
        <f t="shared" ca="1" si="224"/>
        <v>897770</v>
      </c>
      <c r="W494" s="10">
        <f t="shared" ca="1" si="225"/>
        <v>763104.5</v>
      </c>
      <c r="X494" s="10">
        <f t="shared" ca="1" si="226"/>
        <v>134665.5</v>
      </c>
      <c r="Y494" s="12">
        <f t="shared" ca="1" si="227"/>
        <v>0.15</v>
      </c>
      <c r="Z494" s="2" t="str">
        <f t="shared" ca="1" si="228"/>
        <v>Cancelada</v>
      </c>
      <c r="AA494" s="8">
        <f t="shared" ca="1" si="229"/>
        <v>27</v>
      </c>
      <c r="AB494" s="2">
        <f t="shared" ca="1" si="230"/>
        <v>15</v>
      </c>
      <c r="AC494" s="2">
        <f t="shared" ca="1" si="231"/>
        <v>10</v>
      </c>
    </row>
    <row r="495" spans="1:29" x14ac:dyDescent="0.25">
      <c r="A495" s="14" t="str">
        <f t="shared" si="203"/>
        <v>VND-00495</v>
      </c>
      <c r="B495" s="5">
        <f t="shared" ca="1" si="204"/>
        <v>45757</v>
      </c>
      <c r="C495" s="2">
        <f t="shared" ca="1" si="205"/>
        <v>2025</v>
      </c>
      <c r="D495" s="2" t="str">
        <f t="shared" ca="1" si="206"/>
        <v>abril</v>
      </c>
      <c r="E495" s="2" t="str">
        <f t="shared" ca="1" si="207"/>
        <v>2025/04</v>
      </c>
      <c r="F495" s="14" t="str">
        <f t="shared" ca="1" si="208"/>
        <v>CLI-4784</v>
      </c>
      <c r="G495" s="2" t="str">
        <f t="shared" ca="1" si="209"/>
        <v>Lucas</v>
      </c>
      <c r="H495" s="2" t="str">
        <f t="shared" ca="1" si="210"/>
        <v>Recorrente</v>
      </c>
      <c r="I495" s="2" t="str">
        <f t="shared" ca="1" si="211"/>
        <v>Lucas</v>
      </c>
      <c r="J495" s="14" t="str">
        <f t="shared" ca="1" si="212"/>
        <v>VCL-3423</v>
      </c>
      <c r="K495" s="2" t="str">
        <f t="shared" ca="1" si="213"/>
        <v>BMW X1</v>
      </c>
      <c r="L495" s="2" t="str">
        <f t="shared" ca="1" si="214"/>
        <v>BMW</v>
      </c>
      <c r="M495" s="2" t="str">
        <f t="shared" ca="1" si="215"/>
        <v>Luxo</v>
      </c>
      <c r="N495" s="2">
        <f t="shared" ca="1" si="216"/>
        <v>2016</v>
      </c>
      <c r="O495" s="2" t="str">
        <f t="shared" ca="1" si="217"/>
        <v>Loja</v>
      </c>
      <c r="P495" s="2" t="str">
        <f t="shared" ca="1" si="218"/>
        <v>Sudeste</v>
      </c>
      <c r="Q495" s="2" t="str">
        <f t="shared" ca="1" si="219"/>
        <v>SP</v>
      </c>
      <c r="R495" s="2" t="str">
        <f t="shared" ca="1" si="220"/>
        <v>Ribeirão Preto</v>
      </c>
      <c r="S495" s="8">
        <f t="shared" ca="1" si="221"/>
        <v>5</v>
      </c>
      <c r="T495" s="10">
        <f t="shared" ca="1" si="222"/>
        <v>245585</v>
      </c>
      <c r="U495" s="10">
        <f t="shared" ca="1" si="223"/>
        <v>191556.30000000002</v>
      </c>
      <c r="V495" s="10">
        <f t="shared" ca="1" si="224"/>
        <v>1227925</v>
      </c>
      <c r="W495" s="10">
        <f t="shared" ca="1" si="225"/>
        <v>957781.50000000012</v>
      </c>
      <c r="X495" s="10">
        <f t="shared" ca="1" si="226"/>
        <v>270143.49999999988</v>
      </c>
      <c r="Y495" s="12">
        <f t="shared" ca="1" si="227"/>
        <v>0.21999999999999992</v>
      </c>
      <c r="Z495" s="2" t="str">
        <f t="shared" ca="1" si="228"/>
        <v>Em negociação</v>
      </c>
      <c r="AA495" s="8">
        <f t="shared" ca="1" si="229"/>
        <v>18</v>
      </c>
      <c r="AB495" s="2">
        <f t="shared" ca="1" si="230"/>
        <v>0</v>
      </c>
      <c r="AC495" s="2">
        <f t="shared" ca="1" si="231"/>
        <v>3</v>
      </c>
    </row>
    <row r="496" spans="1:29" x14ac:dyDescent="0.25">
      <c r="A496" s="14" t="str">
        <f t="shared" si="203"/>
        <v>VND-00496</v>
      </c>
      <c r="B496" s="5">
        <f t="shared" ca="1" si="204"/>
        <v>45516</v>
      </c>
      <c r="C496" s="2">
        <f t="shared" ca="1" si="205"/>
        <v>2024</v>
      </c>
      <c r="D496" s="2" t="str">
        <f t="shared" ca="1" si="206"/>
        <v>agosto</v>
      </c>
      <c r="E496" s="2" t="str">
        <f t="shared" ca="1" si="207"/>
        <v>2024/08</v>
      </c>
      <c r="F496" s="14" t="str">
        <f t="shared" ca="1" si="208"/>
        <v>CLI-2972</v>
      </c>
      <c r="G496" s="2" t="str">
        <f t="shared" ca="1" si="209"/>
        <v>Maria</v>
      </c>
      <c r="H496" s="2" t="str">
        <f t="shared" ca="1" si="210"/>
        <v>Recorrente</v>
      </c>
      <c r="I496" s="2" t="str">
        <f t="shared" ca="1" si="211"/>
        <v>Camila</v>
      </c>
      <c r="J496" s="14" t="str">
        <f t="shared" ca="1" si="212"/>
        <v>VCL-1421</v>
      </c>
      <c r="K496" s="2" t="str">
        <f t="shared" ca="1" si="213"/>
        <v>Corolla</v>
      </c>
      <c r="L496" s="2" t="str">
        <f t="shared" ca="1" si="214"/>
        <v>Toyota</v>
      </c>
      <c r="M496" s="2" t="str">
        <f t="shared" ca="1" si="215"/>
        <v>SUV</v>
      </c>
      <c r="N496" s="2">
        <f t="shared" ca="1" si="216"/>
        <v>2023</v>
      </c>
      <c r="O496" s="2" t="str">
        <f t="shared" ca="1" si="217"/>
        <v>Online</v>
      </c>
      <c r="P496" s="2" t="str">
        <f t="shared" ca="1" si="218"/>
        <v>Centro-Oeste</v>
      </c>
      <c r="Q496" s="2" t="str">
        <f t="shared" ca="1" si="219"/>
        <v>DF</v>
      </c>
      <c r="R496" s="2" t="str">
        <f t="shared" ca="1" si="220"/>
        <v>Brasília</v>
      </c>
      <c r="S496" s="8">
        <f t="shared" ca="1" si="221"/>
        <v>3</v>
      </c>
      <c r="T496" s="10">
        <f t="shared" ca="1" si="222"/>
        <v>99871</v>
      </c>
      <c r="U496" s="10">
        <f t="shared" ca="1" si="223"/>
        <v>82892.929999999993</v>
      </c>
      <c r="V496" s="10">
        <f t="shared" ca="1" si="224"/>
        <v>299613</v>
      </c>
      <c r="W496" s="10">
        <f t="shared" ca="1" si="225"/>
        <v>248678.78999999998</v>
      </c>
      <c r="X496" s="10">
        <f t="shared" ca="1" si="226"/>
        <v>50934.210000000021</v>
      </c>
      <c r="Y496" s="12">
        <f t="shared" ca="1" si="227"/>
        <v>0.17000000000000007</v>
      </c>
      <c r="Z496" s="2" t="str">
        <f t="shared" ca="1" si="228"/>
        <v>Em negociação</v>
      </c>
      <c r="AA496" s="8">
        <f t="shared" ca="1" si="229"/>
        <v>23</v>
      </c>
      <c r="AB496" s="2">
        <f t="shared" ca="1" si="230"/>
        <v>10</v>
      </c>
      <c r="AC496" s="2">
        <f t="shared" ca="1" si="231"/>
        <v>7</v>
      </c>
    </row>
    <row r="497" spans="1:29" x14ac:dyDescent="0.25">
      <c r="A497" s="14" t="str">
        <f t="shared" si="203"/>
        <v>VND-00497</v>
      </c>
      <c r="B497" s="5">
        <f t="shared" ca="1" si="204"/>
        <v>45989</v>
      </c>
      <c r="C497" s="2">
        <f t="shared" ca="1" si="205"/>
        <v>2025</v>
      </c>
      <c r="D497" s="2" t="str">
        <f t="shared" ca="1" si="206"/>
        <v>novembro</v>
      </c>
      <c r="E497" s="2" t="str">
        <f t="shared" ca="1" si="207"/>
        <v>2025/11</v>
      </c>
      <c r="F497" s="14" t="str">
        <f t="shared" ca="1" si="208"/>
        <v>CLI-5187</v>
      </c>
      <c r="G497" s="2" t="str">
        <f t="shared" ca="1" si="209"/>
        <v>Fernanda</v>
      </c>
      <c r="H497" s="2" t="str">
        <f t="shared" ca="1" si="210"/>
        <v>Recorrente</v>
      </c>
      <c r="I497" s="2" t="str">
        <f t="shared" ca="1" si="211"/>
        <v>Lucas</v>
      </c>
      <c r="J497" s="14" t="str">
        <f t="shared" ca="1" si="212"/>
        <v>VCL-3778</v>
      </c>
      <c r="K497" s="2" t="str">
        <f t="shared" ca="1" si="213"/>
        <v>Corolla</v>
      </c>
      <c r="L497" s="2" t="str">
        <f t="shared" ca="1" si="214"/>
        <v>Toyota</v>
      </c>
      <c r="M497" s="2" t="str">
        <f t="shared" ca="1" si="215"/>
        <v>SUV</v>
      </c>
      <c r="N497" s="2">
        <f t="shared" ca="1" si="216"/>
        <v>2015</v>
      </c>
      <c r="O497" s="2" t="str">
        <f t="shared" ca="1" si="217"/>
        <v>Loja</v>
      </c>
      <c r="P497" s="2" t="str">
        <f t="shared" ca="1" si="218"/>
        <v>Sudeste</v>
      </c>
      <c r="Q497" s="2" t="str">
        <f t="shared" ca="1" si="219"/>
        <v>MG</v>
      </c>
      <c r="R497" s="2" t="str">
        <f t="shared" ca="1" si="220"/>
        <v>Contagem</v>
      </c>
      <c r="S497" s="8">
        <f t="shared" ca="1" si="221"/>
        <v>5</v>
      </c>
      <c r="T497" s="10">
        <f t="shared" ca="1" si="222"/>
        <v>112483</v>
      </c>
      <c r="U497" s="10">
        <f t="shared" ca="1" si="223"/>
        <v>95610.55</v>
      </c>
      <c r="V497" s="10">
        <f t="shared" ca="1" si="224"/>
        <v>562415</v>
      </c>
      <c r="W497" s="10">
        <f t="shared" ca="1" si="225"/>
        <v>478052.75</v>
      </c>
      <c r="X497" s="10">
        <f t="shared" ca="1" si="226"/>
        <v>84362.25</v>
      </c>
      <c r="Y497" s="12">
        <f t="shared" ca="1" si="227"/>
        <v>0.15</v>
      </c>
      <c r="Z497" s="2" t="str">
        <f t="shared" ca="1" si="228"/>
        <v>Cancelada</v>
      </c>
      <c r="AA497" s="8">
        <f t="shared" ca="1" si="229"/>
        <v>25</v>
      </c>
      <c r="AB497" s="2">
        <f t="shared" ca="1" si="230"/>
        <v>6</v>
      </c>
      <c r="AC497" s="2">
        <f t="shared" ca="1" si="231"/>
        <v>7</v>
      </c>
    </row>
    <row r="498" spans="1:29" x14ac:dyDescent="0.25">
      <c r="A498" s="14" t="str">
        <f t="shared" si="203"/>
        <v>VND-00498</v>
      </c>
      <c r="B498" s="5">
        <f t="shared" ca="1" si="204"/>
        <v>45542</v>
      </c>
      <c r="C498" s="2">
        <f t="shared" ca="1" si="205"/>
        <v>2024</v>
      </c>
      <c r="D498" s="2" t="str">
        <f t="shared" ca="1" si="206"/>
        <v>setembro</v>
      </c>
      <c r="E498" s="2" t="str">
        <f t="shared" ca="1" si="207"/>
        <v>2024/09</v>
      </c>
      <c r="F498" s="14" t="str">
        <f t="shared" ca="1" si="208"/>
        <v>CLI-5085</v>
      </c>
      <c r="G498" s="2" t="str">
        <f t="shared" ca="1" si="209"/>
        <v>Ana</v>
      </c>
      <c r="H498" s="2" t="str">
        <f t="shared" ca="1" si="210"/>
        <v>Recorrente</v>
      </c>
      <c r="I498" s="2" t="str">
        <f t="shared" ca="1" si="211"/>
        <v>Larissa</v>
      </c>
      <c r="J498" s="14" t="str">
        <f t="shared" ca="1" si="212"/>
        <v>VCL-4864</v>
      </c>
      <c r="K498" s="2" t="str">
        <f t="shared" ca="1" si="213"/>
        <v>HB20</v>
      </c>
      <c r="L498" s="2" t="str">
        <f t="shared" ca="1" si="214"/>
        <v>Hyundai</v>
      </c>
      <c r="M498" s="2" t="str">
        <f t="shared" ca="1" si="215"/>
        <v>Popular</v>
      </c>
      <c r="N498" s="2">
        <f t="shared" ca="1" si="216"/>
        <v>2020</v>
      </c>
      <c r="O498" s="2" t="str">
        <f t="shared" ca="1" si="217"/>
        <v>Online</v>
      </c>
      <c r="P498" s="2" t="str">
        <f t="shared" ca="1" si="218"/>
        <v>Centro-Oeste</v>
      </c>
      <c r="Q498" s="2" t="str">
        <f t="shared" ca="1" si="219"/>
        <v>GO</v>
      </c>
      <c r="R498" s="2" t="str">
        <f t="shared" ca="1" si="220"/>
        <v>Rio Verde</v>
      </c>
      <c r="S498" s="8">
        <f t="shared" ca="1" si="221"/>
        <v>9</v>
      </c>
      <c r="T498" s="10">
        <f t="shared" ca="1" si="222"/>
        <v>170204</v>
      </c>
      <c r="U498" s="10">
        <f t="shared" ca="1" si="223"/>
        <v>144673.4</v>
      </c>
      <c r="V498" s="10">
        <f t="shared" ca="1" si="224"/>
        <v>1531836</v>
      </c>
      <c r="W498" s="10">
        <f t="shared" ca="1" si="225"/>
        <v>1302060.5999999999</v>
      </c>
      <c r="X498" s="10">
        <f t="shared" ca="1" si="226"/>
        <v>229775.40000000014</v>
      </c>
      <c r="Y498" s="12">
        <f t="shared" ca="1" si="227"/>
        <v>0.15000000000000008</v>
      </c>
      <c r="Z498" s="2" t="str">
        <f t="shared" ca="1" si="228"/>
        <v>Cancelada</v>
      </c>
      <c r="AA498" s="8">
        <f t="shared" ca="1" si="229"/>
        <v>22</v>
      </c>
      <c r="AB498" s="2">
        <f t="shared" ca="1" si="230"/>
        <v>19</v>
      </c>
      <c r="AC498" s="2">
        <f t="shared" ca="1" si="231"/>
        <v>10</v>
      </c>
    </row>
    <row r="499" spans="1:29" x14ac:dyDescent="0.25">
      <c r="A499" s="14" t="str">
        <f t="shared" si="203"/>
        <v>VND-00499</v>
      </c>
      <c r="B499" s="5">
        <f t="shared" ca="1" si="204"/>
        <v>45086</v>
      </c>
      <c r="C499" s="2">
        <f t="shared" ca="1" si="205"/>
        <v>2023</v>
      </c>
      <c r="D499" s="2" t="str">
        <f t="shared" ca="1" si="206"/>
        <v>junho</v>
      </c>
      <c r="E499" s="2" t="str">
        <f t="shared" ca="1" si="207"/>
        <v>2023/06</v>
      </c>
      <c r="F499" s="14" t="str">
        <f t="shared" ca="1" si="208"/>
        <v>CLI-5861</v>
      </c>
      <c r="G499" s="2" t="str">
        <f t="shared" ca="1" si="209"/>
        <v>João</v>
      </c>
      <c r="H499" s="2" t="str">
        <f t="shared" ca="1" si="210"/>
        <v>Recorrente</v>
      </c>
      <c r="I499" s="2" t="str">
        <f t="shared" ca="1" si="211"/>
        <v>Tatiane</v>
      </c>
      <c r="J499" s="14" t="str">
        <f t="shared" ca="1" si="212"/>
        <v>VCL-5593</v>
      </c>
      <c r="K499" s="2" t="str">
        <f t="shared" ca="1" si="213"/>
        <v>Corolla</v>
      </c>
      <c r="L499" s="2" t="str">
        <f t="shared" ca="1" si="214"/>
        <v>Toyota</v>
      </c>
      <c r="M499" s="2" t="str">
        <f t="shared" ca="1" si="215"/>
        <v>SUV</v>
      </c>
      <c r="N499" s="2">
        <f t="shared" ca="1" si="216"/>
        <v>2023</v>
      </c>
      <c r="O499" s="2" t="str">
        <f t="shared" ca="1" si="217"/>
        <v>Loja</v>
      </c>
      <c r="P499" s="2" t="str">
        <f t="shared" ca="1" si="218"/>
        <v>Norte</v>
      </c>
      <c r="Q499" s="2" t="str">
        <f t="shared" ca="1" si="219"/>
        <v>PA</v>
      </c>
      <c r="R499" s="2" t="str">
        <f t="shared" ca="1" si="220"/>
        <v>Castanhal</v>
      </c>
      <c r="S499" s="8">
        <f t="shared" ca="1" si="221"/>
        <v>1</v>
      </c>
      <c r="T499" s="10">
        <f t="shared" ca="1" si="222"/>
        <v>80519</v>
      </c>
      <c r="U499" s="10">
        <f t="shared" ca="1" si="223"/>
        <v>59584.06</v>
      </c>
      <c r="V499" s="10">
        <f t="shared" ca="1" si="224"/>
        <v>80519</v>
      </c>
      <c r="W499" s="10">
        <f t="shared" ca="1" si="225"/>
        <v>59584.06</v>
      </c>
      <c r="X499" s="10">
        <f t="shared" ca="1" si="226"/>
        <v>20934.940000000002</v>
      </c>
      <c r="Y499" s="12">
        <f t="shared" ca="1" si="227"/>
        <v>0.26</v>
      </c>
      <c r="Z499" s="2" t="str">
        <f t="shared" ca="1" si="228"/>
        <v>Concluída</v>
      </c>
      <c r="AA499" s="8">
        <f t="shared" ca="1" si="229"/>
        <v>1</v>
      </c>
      <c r="AB499" s="2">
        <f t="shared" ca="1" si="230"/>
        <v>13</v>
      </c>
      <c r="AC499" s="2">
        <f t="shared" ca="1" si="231"/>
        <v>7</v>
      </c>
    </row>
    <row r="500" spans="1:29" x14ac:dyDescent="0.25">
      <c r="A500" s="14" t="str">
        <f t="shared" si="203"/>
        <v>VND-00500</v>
      </c>
      <c r="B500" s="5">
        <f t="shared" ca="1" si="204"/>
        <v>45300</v>
      </c>
      <c r="C500" s="2">
        <f t="shared" ca="1" si="205"/>
        <v>2024</v>
      </c>
      <c r="D500" s="2" t="str">
        <f t="shared" ca="1" si="206"/>
        <v>janeiro</v>
      </c>
      <c r="E500" s="2" t="str">
        <f t="shared" ca="1" si="207"/>
        <v>2024/01</v>
      </c>
      <c r="F500" s="14" t="str">
        <f t="shared" ca="1" si="208"/>
        <v>CLI-3503</v>
      </c>
      <c r="G500" s="2" t="str">
        <f t="shared" ca="1" si="209"/>
        <v>Juliana</v>
      </c>
      <c r="H500" s="2" t="str">
        <f t="shared" ca="1" si="210"/>
        <v>Recorrente</v>
      </c>
      <c r="I500" s="2" t="str">
        <f t="shared" ca="1" si="211"/>
        <v>Gustavo</v>
      </c>
      <c r="J500" s="14" t="str">
        <f t="shared" ca="1" si="212"/>
        <v>VCL-1966</v>
      </c>
      <c r="K500" s="2" t="str">
        <f t="shared" ca="1" si="213"/>
        <v>Compass</v>
      </c>
      <c r="L500" s="2" t="str">
        <f t="shared" ca="1" si="214"/>
        <v>Jeep</v>
      </c>
      <c r="M500" s="2" t="str">
        <f t="shared" ca="1" si="215"/>
        <v>SUV</v>
      </c>
      <c r="N500" s="2">
        <f t="shared" ca="1" si="216"/>
        <v>2024</v>
      </c>
      <c r="O500" s="2" t="str">
        <f t="shared" ca="1" si="217"/>
        <v>Loja</v>
      </c>
      <c r="P500" s="2" t="str">
        <f t="shared" ca="1" si="218"/>
        <v>Centro-Oeste</v>
      </c>
      <c r="Q500" s="2" t="str">
        <f t="shared" ca="1" si="219"/>
        <v>GO</v>
      </c>
      <c r="R500" s="2" t="str">
        <f t="shared" ca="1" si="220"/>
        <v>Aparecida de Goiânia</v>
      </c>
      <c r="S500" s="8">
        <f t="shared" ca="1" si="221"/>
        <v>10</v>
      </c>
      <c r="T500" s="10">
        <f t="shared" ca="1" si="222"/>
        <v>239610</v>
      </c>
      <c r="U500" s="10">
        <f t="shared" ca="1" si="223"/>
        <v>198876.3</v>
      </c>
      <c r="V500" s="10">
        <f t="shared" ca="1" si="224"/>
        <v>2396100</v>
      </c>
      <c r="W500" s="10">
        <f t="shared" ca="1" si="225"/>
        <v>1988763</v>
      </c>
      <c r="X500" s="10">
        <f t="shared" ca="1" si="226"/>
        <v>407337</v>
      </c>
      <c r="Y500" s="12">
        <f t="shared" ca="1" si="227"/>
        <v>0.17</v>
      </c>
      <c r="Z500" s="2" t="str">
        <f t="shared" ca="1" si="228"/>
        <v>Cancelada</v>
      </c>
      <c r="AA500" s="8">
        <f t="shared" ca="1" si="229"/>
        <v>7</v>
      </c>
      <c r="AB500" s="2">
        <f t="shared" ca="1" si="230"/>
        <v>20</v>
      </c>
      <c r="AC500" s="2">
        <f t="shared" ca="1" si="231"/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Jocival Almeida</dc:creator>
  <cp:lastModifiedBy>Jocival Almeida</cp:lastModifiedBy>
  <dcterms:created xsi:type="dcterms:W3CDTF">2026-04-13T23:55:47Z</dcterms:created>
  <dcterms:modified xsi:type="dcterms:W3CDTF">2026-04-14T01:30:00Z</dcterms:modified>
</cp:coreProperties>
</file>